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defaultThemeVersion="166925"/>
  <mc:AlternateContent xmlns:mc="http://schemas.openxmlformats.org/markup-compatibility/2006">
    <mc:Choice Requires="x15">
      <x15ac:absPath xmlns:x15ac="http://schemas.microsoft.com/office/spreadsheetml/2010/11/ac" url="/Users/oconnoj/Downloads/"/>
    </mc:Choice>
  </mc:AlternateContent>
  <xr:revisionPtr revIDLastSave="0" documentId="8_{7BEB6C11-B30A-0442-8316-AA04F82AF209}" xr6:coauthVersionLast="47" xr6:coauthVersionMax="47" xr10:uidLastSave="{00000000-0000-0000-0000-000000000000}"/>
  <bookViews>
    <workbookView xWindow="0" yWindow="740" windowWidth="30240" windowHeight="18900" firstSheet="2" activeTab="2" xr2:uid="{00000000-000D-0000-FFFF-FFFF00000000}"/>
  </bookViews>
  <sheets>
    <sheet name="Sheet2" sheetId="7" r:id="rId1"/>
    <sheet name="Total C&amp;H Awards" sheetId="1" r:id="rId2"/>
    <sheet name="Total C&amp;H Awards_SM tagging" sheetId="8" r:id="rId3"/>
    <sheet name="C&amp;H by Scheme" sheetId="2" r:id="rId4"/>
    <sheet name="Tables" sheetId="5" r:id="rId5"/>
  </sheets>
  <definedNames>
    <definedName name="_xlnm._FilterDatabase" localSheetId="1" hidden="1">'Total C&amp;H Awards'!$A$1:$R$271</definedName>
    <definedName name="_xlnm._FilterDatabase" localSheetId="2" hidden="1">'Total C&amp;H Awards_SM tagging'!$A$1:$AC$271</definedName>
  </definedNames>
  <calcPr calcId="191028"/>
  <pivotCaches>
    <pivotCache cacheId="2"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tc={73507AB4-B319-461E-AA1C-A9DEA5070D05}</author>
  </authors>
  <commentList>
    <comment ref="I60" authorId="0" shapeId="0" xr:uid="{73507AB4-B319-461E-AA1C-A9DEA5070D05}">
      <text>
        <t xml:space="preserve">[Threaded comment]
Your version of Excel allows you to read this threaded comment; however, any edits to it will get removed if the file is opened in a newer version of Excel. Learn more: https://go.microsoft.com/fwlink/?linkid=870924
Comment:
    @Melina Galdos I labelled these as adaptation but maybe we should label as field building instead, not sure what we decided?
Reply:
    Hi Sarah! I think they should be labelled as "Adaptation" because the tag is more relevant to the area of interest and the purpose of this call. While it's true that the cohort is managed by CFD, I'm not sure if that is the tag we need. Please let me know if I'm mistaken.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tc={B72F82F4-D7D9-4C42-AA9F-3485004DFC54}</author>
  </authors>
  <commentList>
    <comment ref="L60" authorId="0" shapeId="0" xr:uid="{B72F82F4-D7D9-4C42-AA9F-3485004DFC54}">
      <text>
        <t xml:space="preserve">[Threaded comment]
Your version of Excel allows you to read this threaded comment; however, any edits to it will get removed if the file is opened in a newer version of Excel. Learn more: https://go.microsoft.com/fwlink/?linkid=870924
Comment:
    @Melina Galdos I labelled these as adaptation but maybe we should label as field building instead, not sure what we decided?
Reply:
    Hi Sarah! I think they should be labelled as "Adaptation" because the tag is more relevant to the area of interest and the purpose of this call. While it's true that the cohort is managed by CFD, I'm not sure if that is the tag we need. Please let me know if I'm mistaken. </t>
      </text>
    </comment>
  </commentList>
</comments>
</file>

<file path=xl/sharedStrings.xml><?xml version="1.0" encoding="utf-8"?>
<sst xmlns="http://schemas.openxmlformats.org/spreadsheetml/2006/main" count="7673" uniqueCount="1090">
  <si>
    <t>Source</t>
  </si>
  <si>
    <t>C&amp;H dashboards</t>
  </si>
  <si>
    <t>Row Labels</t>
  </si>
  <si>
    <t>Count of Grant Reference</t>
  </si>
  <si>
    <t>Sum of Award value</t>
  </si>
  <si>
    <t>Active</t>
  </si>
  <si>
    <t>Approved</t>
  </si>
  <si>
    <t>Award</t>
  </si>
  <si>
    <t>Closed</t>
  </si>
  <si>
    <t>Completed</t>
  </si>
  <si>
    <t>Grand Total</t>
  </si>
  <si>
    <t>Grant Reference</t>
  </si>
  <si>
    <t>C&amp;H or Wider Portfolio?</t>
  </si>
  <si>
    <t>Type</t>
  </si>
  <si>
    <t>Title</t>
  </si>
  <si>
    <t>Organisation Name</t>
  </si>
  <si>
    <t>Country</t>
  </si>
  <si>
    <t>Group</t>
  </si>
  <si>
    <t>Area</t>
  </si>
  <si>
    <t>C&amp;H area?</t>
  </si>
  <si>
    <t>Scheme Name</t>
  </si>
  <si>
    <t>Team</t>
  </si>
  <si>
    <t>Status</t>
  </si>
  <si>
    <t>Effective Date</t>
  </si>
  <si>
    <t>Award Amount GBP Wellcome</t>
  </si>
  <si>
    <t>Current Award GBP Wellcome</t>
  </si>
  <si>
    <t>Award value</t>
  </si>
  <si>
    <t>Salesforce Link</t>
  </si>
  <si>
    <t>Award Year</t>
  </si>
  <si>
    <t>106856/Z/15/Z</t>
  </si>
  <si>
    <t xml:space="preserve">C&amp;H </t>
  </si>
  <si>
    <t>Grant</t>
  </si>
  <si>
    <t>Mini-livestock as sustainable and health-promoting food for nine billion people</t>
  </si>
  <si>
    <t>Wageningen UR</t>
  </si>
  <si>
    <t>Netherlands</t>
  </si>
  <si>
    <t>HIC</t>
  </si>
  <si>
    <t>Climate &amp; Health</t>
  </si>
  <si>
    <t>Mitigation</t>
  </si>
  <si>
    <t>Sustaining Health Award</t>
  </si>
  <si>
    <t>Climate Impacts</t>
  </si>
  <si>
    <t>07/05/2015</t>
  </si>
  <si>
    <t>https://wellcometrust.lightning.force.com/lightning/r/Funding_Record__c/a2QQ5000000GBXvMAO/view</t>
  </si>
  <si>
    <t>FY 14/15</t>
  </si>
  <si>
    <t>205177/Z/16/Z</t>
  </si>
  <si>
    <t>What makes cities healthy, equitable, and environmentally sustainable?  Lessons from Latin America</t>
  </si>
  <si>
    <t>Drexel University</t>
  </si>
  <si>
    <t>United States</t>
  </si>
  <si>
    <t>Adaptation</t>
  </si>
  <si>
    <t>Our Planet, Our Health Programme Grant</t>
  </si>
  <si>
    <t>06/10/2016</t>
  </si>
  <si>
    <t>https://wellcometrust.lightning.force.com/lightning/r/Funding_Record__c/a2QQ5000000GSdNMAW/view</t>
  </si>
  <si>
    <t>FY 15/16</t>
  </si>
  <si>
    <t>205200/Z/16/Z</t>
  </si>
  <si>
    <t>Sustainable and Healthy Food Systems (SHEFS)</t>
  </si>
  <si>
    <t>London School of Hygiene &amp; Tropical Medicine</t>
  </si>
  <si>
    <t>United Kingdom</t>
  </si>
  <si>
    <t>UK</t>
  </si>
  <si>
    <t>Interventions</t>
  </si>
  <si>
    <t>https://wellcometrust.lightning.force.com/lightning/r/Funding_Record__c/a2QQ5000000GLjYMAW/view</t>
  </si>
  <si>
    <t>205212/B/16/Z</t>
  </si>
  <si>
    <t>Livestock, Environment and People (LEAP)</t>
  </si>
  <si>
    <t>University of Oxford</t>
  </si>
  <si>
    <t>https://wellcometrust.lightning.force.com/lightning/r/Funding_Record__c/a2QQ5000000GSXoMAO/view</t>
  </si>
  <si>
    <t>205212/Z/16/Z</t>
  </si>
  <si>
    <t>https://wellcometrust.lightning.force.com/lightning/r/Funding_Record__c/a2QQ5000000GCKIMA4/view</t>
  </si>
  <si>
    <t>205222/B/16/Z</t>
  </si>
  <si>
    <t>Health and economic benefits of water-sensitive revitalisation in informal urban settlements</t>
  </si>
  <si>
    <t>Monash University</t>
  </si>
  <si>
    <t>Australia</t>
  </si>
  <si>
    <t>https://wellcometrust.lightning.force.com/lightning/r/Funding_Record__c/a2QQ5000000GM2pMAG/view</t>
  </si>
  <si>
    <t>FY 16/16</t>
  </si>
  <si>
    <t>205222/C/16/Z</t>
  </si>
  <si>
    <t>Wellcome Sanger Institute</t>
  </si>
  <si>
    <t>https://wellcometrust.lightning.force.com/lightning/r/Funding_Record__c/a2QQ5000000GGI2MAO/view</t>
  </si>
  <si>
    <t>205222/Z/16/Z</t>
  </si>
  <si>
    <t>https://wellcometrust.lightning.force.com/lightning/r/Funding_Record__c/a2QQ5000000GSkkMAG/view</t>
  </si>
  <si>
    <t>209376/Z/17/A</t>
  </si>
  <si>
    <t>Our Planet, Our Health award: Pathways to Equitable Healthy Cities</t>
  </si>
  <si>
    <t>Imperial College London</t>
  </si>
  <si>
    <t>Research Enrichment - Public Engagement</t>
  </si>
  <si>
    <t>12/05/2022</t>
  </si>
  <si>
    <t>https://wellcometrust.lightning.force.com/lightning/r/Funding_Record__c/a2QQ5000000GGoOMAW/view</t>
  </si>
  <si>
    <t>FY 21/22</t>
  </si>
  <si>
    <t>209376/Z/17/Z</t>
  </si>
  <si>
    <t>Pathways to Equitable Healthy Cities (London Hub  for Urban Health)</t>
  </si>
  <si>
    <t>Discretionary Award - OPOH</t>
  </si>
  <si>
    <t>30/09/2018</t>
  </si>
  <si>
    <t>https://wellcometrust.lightning.force.com/lightning/r/Funding_Record__c/a2QQ5000000GZV6MAO/view</t>
  </si>
  <si>
    <t>FY 17/18</t>
  </si>
  <si>
    <t>209387/Z/17/Z</t>
  </si>
  <si>
    <t>Complex Urban Systems for Sustainability and Health (London Hub)</t>
  </si>
  <si>
    <t>University College London</t>
  </si>
  <si>
    <t>https://wellcometrust.lightning.force.com/lightning/r/Funding_Record__c/a2QQ5000000GJKFMA4/view</t>
  </si>
  <si>
    <t>209734/Z/17/Z</t>
  </si>
  <si>
    <t>Lancet Countdown: Tracking Progress on Health and Climate Change</t>
  </si>
  <si>
    <t>Impacts</t>
  </si>
  <si>
    <t>https://wellcometrust.lightning.force.com/lightning/r/Funding_Record__c/a2QQ5000000GEwLMAW/view</t>
  </si>
  <si>
    <t>210558/Z/18/Z</t>
  </si>
  <si>
    <t>Development of a WMO/WHO Health and Climate Science Portal (HCSP)</t>
  </si>
  <si>
    <t>World Health Organization, Switzerland</t>
  </si>
  <si>
    <t>Switzerland</t>
  </si>
  <si>
    <t>Capacity &amp; Field Development</t>
  </si>
  <si>
    <t>https://wellcometrust.lightning.force.com/lightning/r/Funding_Record__c/a2QQ5000000GZUiMAO/view</t>
  </si>
  <si>
    <t>214533/Z/18/Z</t>
  </si>
  <si>
    <t>Translating research into action to benefit urban health</t>
  </si>
  <si>
    <t>CDP Worldwide</t>
  </si>
  <si>
    <t>https://wellcometrust.lightning.force.com/lightning/r/Funding_Record__c/a2QQ5000000GBRoMAO/view</t>
  </si>
  <si>
    <t>216014/Z/19/Z</t>
  </si>
  <si>
    <t>Evaluating Health Impacts of Climate Adaptation Strategies</t>
  </si>
  <si>
    <t>University of Exeter</t>
  </si>
  <si>
    <t>OPOH Climate Change and Health</t>
  </si>
  <si>
    <t>10/02/2019</t>
  </si>
  <si>
    <t>https://wellcometrust.lightning.force.com/lightning/r/Funding_Record__c/a2QQ5000000GE88MAG/view</t>
  </si>
  <si>
    <t>FY 18/19</t>
  </si>
  <si>
    <t>216021/Z/19/Z</t>
  </si>
  <si>
    <t>Food System Adaptations in Changing Environments in Africa (FACE-Africa)</t>
  </si>
  <si>
    <t>https://wellcometrust.lightning.force.com/lightning/r/Funding_Record__c/a2QQ5000000GMudMAG/view</t>
  </si>
  <si>
    <t>216027/Z/19/Z</t>
  </si>
  <si>
    <t>Electric vehicles’ health and climate benefits in China and India</t>
  </si>
  <si>
    <t>Johns Hopkins University</t>
  </si>
  <si>
    <t>https://wellcometrust.lightning.force.com/lightning/r/Funding_Record__c/a2QQ5000000GKqyMAG/view</t>
  </si>
  <si>
    <t>216029/Z/19/Z</t>
  </si>
  <si>
    <t>Green spaces, air pollution, and climate-related heat mortality in Latin American cities</t>
  </si>
  <si>
    <t>University of California, Berkeley</t>
  </si>
  <si>
    <t>https://wellcometrust.lightning.force.com/lightning/r/Funding_Record__c/a2QQ5000000GMxgMAG/view</t>
  </si>
  <si>
    <t>216033/Z/19/Z</t>
  </si>
  <si>
    <t>Evaluation of Municipal Heat Action Plans (HAPs) in the United States</t>
  </si>
  <si>
    <t>Boston University</t>
  </si>
  <si>
    <t>https://wellcometrust.lightning.force.com/lightning/r/Funding_Record__c/a2QQ5000000GIkSMAW/view</t>
  </si>
  <si>
    <t>216034/A/19/Z</t>
  </si>
  <si>
    <t>Climate adaptation and sustainable rural health outcomes in Southern Africa</t>
  </si>
  <si>
    <t>Human Sciences Research Council, South Africa</t>
  </si>
  <si>
    <t>South Africa</t>
  </si>
  <si>
    <t>LMIC</t>
  </si>
  <si>
    <t>Climate and Health</t>
  </si>
  <si>
    <t>https://wellcometrust.lightning.force.com/lightning/r/Funding_Record__c/a2QQ5000000GZy2MAG/view</t>
  </si>
  <si>
    <t>216035/Z/19/Z</t>
  </si>
  <si>
    <t>Health and economic impacts of urban heat islands and greenspace</t>
  </si>
  <si>
    <t>https://wellcometrust.lightning.force.com/lightning/r/Funding_Record__c/a2QQ5000000GQfpMAG/view</t>
  </si>
  <si>
    <t>216042/Z/19/A</t>
  </si>
  <si>
    <t>Reducing meat intake to mitigate climate change and improve health</t>
  </si>
  <si>
    <t>University of North Carolina at Chapel Hill</t>
  </si>
  <si>
    <t>Research Enrichment - Diversity and Inclusion</t>
  </si>
  <si>
    <t>10/03/2021</t>
  </si>
  <si>
    <t>https://wellcometrust.lightning.force.com/lightning/r/Funding_Record__c/a2QQ5000000G63dMAC/view</t>
  </si>
  <si>
    <t>216042/Z/19/Z</t>
  </si>
  <si>
    <t>https://wellcometrust.lightning.force.com/lightning/r/Funding_Record__c/a2QQ5000000GVGkMAO/view</t>
  </si>
  <si>
    <t>FY 20/21</t>
  </si>
  <si>
    <t>216059/Z/19/Z</t>
  </si>
  <si>
    <t>Managing heat stress among Bangladesh ready-made clothing industry workers</t>
  </si>
  <si>
    <t>Griffith University</t>
  </si>
  <si>
    <t>https://wellcometrust.lightning.force.com/lightning/r/Funding_Record__c/a2QQ5000000GUOVMA4/view</t>
  </si>
  <si>
    <t>216075/Z/19/Z</t>
  </si>
  <si>
    <t>Methods and tools to integrate air quality and health into urban climate action planning</t>
  </si>
  <si>
    <t>George Washington University</t>
  </si>
  <si>
    <t>https://wellcometrust.lightning.force.com/lightning/r/Funding_Record__c/a2QQ5000000GI8CMAW/view</t>
  </si>
  <si>
    <t>216080/Z/19/Z</t>
  </si>
  <si>
    <t>Complex Adaptive Modelling Climate Change Health Impacts in Malawi</t>
  </si>
  <si>
    <t>York University (Canada)</t>
  </si>
  <si>
    <t>Canada</t>
  </si>
  <si>
    <t>https://wellcometrust.lightning.force.com/lightning/r/Funding_Record__c/a2QQ5000000GYSHMA4/view</t>
  </si>
  <si>
    <t>216087/Z/19/Z</t>
  </si>
  <si>
    <t>Air pollution, heat, and health in Brazil under climate change</t>
  </si>
  <si>
    <t>Yale University</t>
  </si>
  <si>
    <t>https://wellcometrust.lightning.force.com/lightning/r/Funding_Record__c/a2QQ5000000GHgoMAG/view</t>
  </si>
  <si>
    <t>216093/Z/19/Z</t>
  </si>
  <si>
    <t>Co-Benefits of Climate Actions for Air and Health in India</t>
  </si>
  <si>
    <t>Natural Resources Defense Council, Inc.</t>
  </si>
  <si>
    <t>https://wellcometrust.lightning.force.com/lightning/r/Funding_Record__c/a2QQ5000000G9mEMAS/view</t>
  </si>
  <si>
    <t>216098/Z/19/Z</t>
  </si>
  <si>
    <t>Rice intensification: could climate change interventions help African malaria elimination?</t>
  </si>
  <si>
    <t>https://wellcometrust.lightning.force.com/lightning/r/Funding_Record__c/a2QQ5000000G8TCMA0/view</t>
  </si>
  <si>
    <t>219399/Z/19/Z</t>
  </si>
  <si>
    <t>Expert consultation: implementation of the WHO Housing and health guidelines</t>
  </si>
  <si>
    <t>30/09/2019</t>
  </si>
  <si>
    <t>https://wellcometrust.lightning.force.com/lightning/r/Funding_Record__c/a2QQ5000000GXquMAG/view</t>
  </si>
  <si>
    <t>219715/Z/19/Z</t>
  </si>
  <si>
    <t>The Planetary Health Alliance 2.0</t>
  </si>
  <si>
    <t>30/09/2020</t>
  </si>
  <si>
    <t>https://wellcometrust.lightning.force.com/lightning/r/Funding_Record__c/a2QQ5000000GM3qMAG/view</t>
  </si>
  <si>
    <t>FY 19/20</t>
  </si>
  <si>
    <t>220140/Z/20/Z</t>
  </si>
  <si>
    <t>Health-sensitive Implementation of Nationally Determined Contributions</t>
  </si>
  <si>
    <t>https://wellcometrust.lightning.force.com/lightning/r/Funding_Record__c/a2QQ5000000GF6UMAW/view</t>
  </si>
  <si>
    <t>220439/Z/20/Z</t>
  </si>
  <si>
    <t>EAT Foundation - Bridge Funding</t>
  </si>
  <si>
    <t>EAT Foundation</t>
  </si>
  <si>
    <t>Norway</t>
  </si>
  <si>
    <t>https://wellcometrust.lightning.force.com/lightning/r/Funding_Record__c/a2QQ5000000G6I8MAK/view</t>
  </si>
  <si>
    <t>221284/Z/20/Z</t>
  </si>
  <si>
    <t>Pathfinder Commission for Planetary Health and Prosperity</t>
  </si>
  <si>
    <t>https://wellcometrust.lightning.force.com/lightning/r/Funding_Record__c/a2QQ5000000GAmEMAW/view</t>
  </si>
  <si>
    <t>221362/Z/20/Z</t>
  </si>
  <si>
    <t>EAT Foundation Wellcome Support</t>
  </si>
  <si>
    <t>https://wellcometrust.lightning.force.com/lightning/r/Funding_Record__c/a2QQ5000000GIUqMAO/view</t>
  </si>
  <si>
    <t>221553/Z/20/Z</t>
  </si>
  <si>
    <t>The benefits of decarbonised electricity generation in cities</t>
  </si>
  <si>
    <t>C40 Cities</t>
  </si>
  <si>
    <t>https://wellcometrust.lightning.force.com/lightning/r/Funding_Record__c/a2QQ5000000GC6WMAW/view</t>
  </si>
  <si>
    <t>222053/Z/20/Z</t>
  </si>
  <si>
    <t>Healthy Food, Healthy Planet (Europe)</t>
  </si>
  <si>
    <t>Climateworks Foundation</t>
  </si>
  <si>
    <t>30/09/2021</t>
  </si>
  <si>
    <t>https://wellcometrust.lightning.force.com/lightning/r/Funding_Record__c/a2QQ5000000GPHCMA4/view</t>
  </si>
  <si>
    <t>222109/Z/20/Z</t>
  </si>
  <si>
    <t>Transitioning to a Zero Carbon Food System in Latin America</t>
  </si>
  <si>
    <t>International Development Research Centre, Canada</t>
  </si>
  <si>
    <t>https://wellcometrust.lightning.force.com/lightning/r/Funding_Record__c/a2QQ5000000GRqWMAW/view</t>
  </si>
  <si>
    <t>223533/Z/21/Z</t>
  </si>
  <si>
    <t>Strengthening the climate and health capacity of AfGH and SfGH</t>
  </si>
  <si>
    <t>STOPAIDS</t>
  </si>
  <si>
    <t>https://wellcometrust.lightning.force.com/lightning/r/Funding_Record__c/a2QQ5000000GTJpMAO/view</t>
  </si>
  <si>
    <t>223534/Z/21/Z</t>
  </si>
  <si>
    <t>International Health Advocacy for Climate Action -- GCHA capacity grant</t>
  </si>
  <si>
    <t>Social Good Fund</t>
  </si>
  <si>
    <t>223758/Z/21/Z</t>
  </si>
  <si>
    <t>EAT Foundation, Food System Economics Commission, and EAT-Lancet 2.0</t>
  </si>
  <si>
    <t>https://wellcometrust.lightning.force.com/lightning/r/Funding_Record__c/a2QQ5000000G9biMAC/view</t>
  </si>
  <si>
    <t>224028/Z/21/Z</t>
  </si>
  <si>
    <t>Economic analysis of health impacts of carbon pricing on land-use</t>
  </si>
  <si>
    <t>University of Cambridge</t>
  </si>
  <si>
    <t>https://wellcometrust.lightning.force.com/lightning/r/Funding_Record__c/a2QQ5000000G9INMA0/view</t>
  </si>
  <si>
    <t>224524/Z/21/Z</t>
  </si>
  <si>
    <t>Health and the Global Environmental Agenda 2021-2022: A Policy Guide</t>
  </si>
  <si>
    <t>University of Edinburgh</t>
  </si>
  <si>
    <t>https://wellcometrust.lightning.force.com/lightning/r/Funding_Record__c/a2QQ5000000G6sBMAS/view</t>
  </si>
  <si>
    <t>224696/Z/21/Z</t>
  </si>
  <si>
    <t>The health, economic and environmental implications of natural gas</t>
  </si>
  <si>
    <t>https://wellcometrust.lightning.force.com/lightning/r/Funding_Record__c/a2QQ5000000GPUVMA4/view</t>
  </si>
  <si>
    <t>224701/Z/21/Z</t>
  </si>
  <si>
    <t>Leveraging PHFI’s networks to disseminate recommendations from HCN policy briefs</t>
  </si>
  <si>
    <t>Public Health Foundation of India</t>
  </si>
  <si>
    <t>India</t>
  </si>
  <si>
    <t>https://wellcometrust.lightning.force.com/lightning/r/Funding_Record__c/a2QQ5000000GOe6MAG/view</t>
  </si>
  <si>
    <t>224703/Z/21/Z</t>
  </si>
  <si>
    <t>Health - Climate - Transport Nexus: Dissemination of Policy Messages</t>
  </si>
  <si>
    <t>SLOCAT Partnership on Sustainable, Low Carbon Transport</t>
  </si>
  <si>
    <t>Belgium</t>
  </si>
  <si>
    <t>https://wellcometrust.lightning.force.com/lightning/r/Funding_Record__c/a2QQ5000000GXYSMA4/view</t>
  </si>
  <si>
    <t>224704/Z/21/Z</t>
  </si>
  <si>
    <t>Expanding the Health and Climate Network agenda in Latin America</t>
  </si>
  <si>
    <t>Brazilian Institute for Consumers Defence</t>
  </si>
  <si>
    <t>Brazil</t>
  </si>
  <si>
    <t>https://wellcometrust.lightning.force.com/lightning/r/Funding_Record__c/a2QQ5000000GGaJMAW/view</t>
  </si>
  <si>
    <t>224705/Z/21/Z</t>
  </si>
  <si>
    <t>Dissemination of the Health and Climate Network briefs in Vietnam</t>
  </si>
  <si>
    <t>Research and Training Center for Community Development</t>
  </si>
  <si>
    <t>https://wellcometrust.lightning.force.com/lightning/r/Funding_Record__c/a2QQ5000000GQoWMAW/view</t>
  </si>
  <si>
    <t>224708/Z/21/Z</t>
  </si>
  <si>
    <t>Economic analysis of health impacts of carbon pricing on transport</t>
  </si>
  <si>
    <t>https://wellcometrust.lightning.force.com/lightning/r/Funding_Record__c/a2QQ5000000GKmzMAG/view</t>
  </si>
  <si>
    <t>224711/Z/21/Z</t>
  </si>
  <si>
    <t>Energy Systems That Protect Climate and Health in South Africa</t>
  </si>
  <si>
    <t>Public Health Association Of South Africa</t>
  </si>
  <si>
    <t>https://wellcometrust.lightning.force.com/lightning/r/Funding_Record__c/a2QQ5000000GKmPMAW/view</t>
  </si>
  <si>
    <t>224715/Z/21/Z</t>
  </si>
  <si>
    <t>Youth Voices For Planetary Health</t>
  </si>
  <si>
    <t>World Obesity Federation</t>
  </si>
  <si>
    <t>https://wellcometrust.lightning.force.com/lightning/r/Funding_Record__c/a2QQ5000000GIqzMAG/view</t>
  </si>
  <si>
    <t>226152/Z/22/Z</t>
  </si>
  <si>
    <t>Environment-Health Nexus in the Asia-Pacific Region</t>
  </si>
  <si>
    <t>International Institute for Sustainable Development</t>
  </si>
  <si>
    <t>Discretionary Award</t>
  </si>
  <si>
    <t>30/09/2022</t>
  </si>
  <si>
    <t>https://wellcometrust.lightning.force.com/lightning/r/Funding_Record__c/a2QQ5000000GH4DMAW/view</t>
  </si>
  <si>
    <t>226153/Z/22/Z</t>
  </si>
  <si>
    <t>Building the Climate Change and Health Field: Placing Health at the Centre of the Global Climate Negotiations</t>
  </si>
  <si>
    <t>https://wellcometrust.lightning.force.com/lightning/r/Funding_Record__c/a2QQ5000000GXFHMA4/view</t>
  </si>
  <si>
    <t>226469/Z/22/Z</t>
  </si>
  <si>
    <t>Accelerating Action for Extreme Heat and Health</t>
  </si>
  <si>
    <t>https://wellcometrust.lightning.force.com/lightning/r/Funding_Record__c/a2QQ5000000GYwJMAW/view</t>
  </si>
  <si>
    <t>226475/Z/22/Z</t>
  </si>
  <si>
    <t>Young People as Changemakers on Issues of Climate and Health: prep for phase2</t>
  </si>
  <si>
    <t>Restless Development</t>
  </si>
  <si>
    <t>Zambia</t>
  </si>
  <si>
    <t>https://wellcometrust.lightning.force.com/lightning/r/Funding_Record__c/a2QQ5000000GO4fMAG/view</t>
  </si>
  <si>
    <t>226478/Z/22/Z</t>
  </si>
  <si>
    <t>Methane and Health: Accelerating Action to Reduce Methane Emissions and Improve Health</t>
  </si>
  <si>
    <t>Environmental Defense Fund</t>
  </si>
  <si>
    <t>https://wellcometrust.lightning.force.com/lightning/r/Funding_Record__c/a2QQ5000000GLv2MAG/view</t>
  </si>
  <si>
    <t>226737/Z/22/Z</t>
  </si>
  <si>
    <t>Health effects of heat in Southeast Asia: Behavioural and structural climate change adaptation interventions in semi-rural Malaysia</t>
  </si>
  <si>
    <t>Monash University Malaysia</t>
  </si>
  <si>
    <t>Malaysia</t>
  </si>
  <si>
    <t>Heat adaptation: evaluating interventions to help manage the health effects of heat</t>
  </si>
  <si>
    <t>29/11/2022</t>
  </si>
  <si>
    <t>https://wellcometrust.lightning.force.com/lightning/r/Funding_Record__c/a2QQ5000000GLREMA4/view</t>
  </si>
  <si>
    <t>FY 22/23</t>
  </si>
  <si>
    <t>226740/A/22/Z</t>
  </si>
  <si>
    <t>Economic and Health Impact Assessment of Heat Adaptation Action: Case studies from India</t>
  </si>
  <si>
    <t>https://wellcometrust.lightning.force.com/lightning/r/Funding_Record__c/a2QQ5000000GW5eMAG/view</t>
  </si>
  <si>
    <t>226740/Z/22/Z</t>
  </si>
  <si>
    <t>Institute of Economic Growth</t>
  </si>
  <si>
    <t>https://wellcometrust.lightning.force.com/lightning/r/Funding_Record__c/a2QQ5000000GJmoMAG/view</t>
  </si>
  <si>
    <t>226745/Z/22/Z</t>
  </si>
  <si>
    <t>The effects of cool roofs on health, environmental and economic outcomes: a global multi-centre study</t>
  </si>
  <si>
    <t>University of Auckland</t>
  </si>
  <si>
    <t>New Zealand</t>
  </si>
  <si>
    <t>https://wellcometrust.lightning.force.com/lightning/r/Funding_Record__c/a2QQ5000000G5OyMAK/view</t>
  </si>
  <si>
    <t>226749/A/22/Z</t>
  </si>
  <si>
    <t>Trees in croplands in alleviating heat stress in agricultural workers</t>
  </si>
  <si>
    <t>LEAD Foundation</t>
  </si>
  <si>
    <t>Tanzania</t>
  </si>
  <si>
    <t>https://wellcometrust.lightning.force.com/lightning/r/Funding_Record__c/a2QQ5000000GEZSMA4/view</t>
  </si>
  <si>
    <t>226750/Z/22/Z</t>
  </si>
  <si>
    <t>Effect of housing modification on indoor thermal comfort and malaria vector densities in hot and humid zones of western and coastal Kenya</t>
  </si>
  <si>
    <t>Kenya Medical Research Institute (Kemri)</t>
  </si>
  <si>
    <t>Kenya</t>
  </si>
  <si>
    <t>https://wellcometrust.lightning.force.com/lightning/r/Funding_Record__c/a2QQ5000000GX8cMAG/view</t>
  </si>
  <si>
    <t>226752/Z/22/Z</t>
  </si>
  <si>
    <t>Assessing the effectiveness of Heat Adaptation &amp; Heat Reduction Interventions for vulnerable population in urban and rural settings of a low- and middle- income country</t>
  </si>
  <si>
    <t>The Aga Khan University, Pakistan</t>
  </si>
  <si>
    <t>Pakistan</t>
  </si>
  <si>
    <t>https://wellcometrust.lightning.force.com/lightning/r/Funding_Record__c/a2QQ5000000FvOIMA0/view</t>
  </si>
  <si>
    <t>226756/Z/22/Z</t>
  </si>
  <si>
    <t>HABVIA: Heat adaptation benefits for vulnerable groups in Africa</t>
  </si>
  <si>
    <t>University of Cape Town</t>
  </si>
  <si>
    <t>https://wellcometrust.lightning.force.com/lightning/r/Funding_Record__c/a2QQ5000000G5uoMAC/view</t>
  </si>
  <si>
    <t>226758/Z/22/Z</t>
  </si>
  <si>
    <t>Co-produced, complex heat adaptation interventions to reduce heat impacts on pregnant women and newborns in Southern Africa: an intervention development and feasibility evaluation study</t>
  </si>
  <si>
    <t>Wits Health Consortium (Pty) Ltd</t>
  </si>
  <si>
    <t>https://wellcometrust.lightning.force.com/lightning/r/Funding_Record__c/a2QQ5000000GGXKMA4/view</t>
  </si>
  <si>
    <t>226766/Z/22/Z</t>
  </si>
  <si>
    <t>Evaluating a heat-health action plan in rural Mexico to manage effects of heat</t>
  </si>
  <si>
    <t>Instituto Nacional De Salud Publica</t>
  </si>
  <si>
    <t>Colombia</t>
  </si>
  <si>
    <t>https://wellcometrust.lightning.force.com/lightning/r/Funding_Record__c/a2QQ5000000GSU8MAO/view</t>
  </si>
  <si>
    <t>227123/Z/23/Z</t>
  </si>
  <si>
    <t>Policy and Implementation for Climate &amp; Health Equity (PAICE)</t>
  </si>
  <si>
    <t>G7 Mitigation call</t>
  </si>
  <si>
    <t>30/11/2022</t>
  </si>
  <si>
    <t>https://wellcometrust.lightning.force.com/lightning/r/Funding_Record__c/a2QQ5000000GXo8MAG/view</t>
  </si>
  <si>
    <t>227132/Z/23/Z</t>
  </si>
  <si>
    <t>SHIFT: Sustainable and Healthy Interventions for Food Transitions</t>
  </si>
  <si>
    <t>https://wellcometrust.lightning.force.com/lightning/r/Funding_Record__c/a2QQ5000000GYxWMAW/view</t>
  </si>
  <si>
    <t>227137/Z/23/Z</t>
  </si>
  <si>
    <t>Modeling the health benefits of state-specific zero-emissions appliance standards in the United States</t>
  </si>
  <si>
    <t>https://wellcometrust.lightning.force.com/lightning/r/Funding_Record__c/a2QQ5000000GON3MAO/view</t>
  </si>
  <si>
    <t>227140/Z/23/Z</t>
  </si>
  <si>
    <t>Maximising potential of plant-based convenience foods in real-life sustainable diets.</t>
  </si>
  <si>
    <t>University of Aberdeen</t>
  </si>
  <si>
    <t>https://wellcometrust.lightning.force.com/lightning/r/Funding_Record__c/a2QQ5000000GUyvMAG/view</t>
  </si>
  <si>
    <t>227149/Z/23/Z</t>
  </si>
  <si>
    <t>Climate, Economics and Health: Adding air quality impacts into social cost of carbon estimates</t>
  </si>
  <si>
    <t>New York University</t>
  </si>
  <si>
    <t>https://wellcometrust.lightning.force.com/lightning/r/Funding_Record__c/a2QQ5000000G8aZMAS/view</t>
  </si>
  <si>
    <t>227150/Z/23/Z</t>
  </si>
  <si>
    <t>A Health-centred Systems Approach towards Net-Zero: Transforming regional climate mitigation policies (Heal-NZ)</t>
  </si>
  <si>
    <t>University of Birmingham</t>
  </si>
  <si>
    <t>https://wellcometrust.lightning.force.com/lightning/r/Funding_Record__c/a2QQ5000000G948MAC/view</t>
  </si>
  <si>
    <t>227151/Z/23/Z</t>
  </si>
  <si>
    <t>A Community Co-design Weatherization and Microgrid Plan for an Equitable Energy Security and Environmental Health</t>
  </si>
  <si>
    <t>The University of Tennessee, Knoxville</t>
  </si>
  <si>
    <t>https://wellcometrust.lightning.force.com/lightning/r/Funding_Record__c/a2QQ5000000GP7aMAG/view</t>
  </si>
  <si>
    <t>227154/Z/23/Z</t>
  </si>
  <si>
    <t>Building for health centred, net zero aligned Food Systems Transformation - A Living Good Food Nation Lab</t>
  </si>
  <si>
    <t>https://wellcometrust.lightning.force.com/lightning/r/Funding_Record__c/a2QQ5000000GWjyMAG/view</t>
  </si>
  <si>
    <t>227156/Z/23/Z</t>
  </si>
  <si>
    <t>Leveraging co-benefits for healthy net-zero transitions in Japanese and other G7 cities: A scalable approach for transformative change</t>
  </si>
  <si>
    <t>Institute for Global Environmental Strategies (IGES)</t>
  </si>
  <si>
    <t>Japan</t>
  </si>
  <si>
    <t>https://wellcometrust.lightning.force.com/lightning/r/Funding_Record__c/a2QQ5000000GSRYMA4/view</t>
  </si>
  <si>
    <t>227161/Z/23/Z</t>
  </si>
  <si>
    <t>Novel Data Technology Applications to Transform Enforcement of Climate and Clean Air Regulation</t>
  </si>
  <si>
    <t>University of Chicago</t>
  </si>
  <si>
    <t>https://wellcometrust.lightning.force.com/lightning/r/Funding_Record__c/a2QQ5000000GEVYMA4/view</t>
  </si>
  <si>
    <t>227165/Z/23/Z</t>
  </si>
  <si>
    <t>Pathfinder 2: accelerating climate action for health</t>
  </si>
  <si>
    <t>30/09/2023</t>
  </si>
  <si>
    <t>https://wellcometrust.lightning.force.com/lightning/r/Funding_Record__c/a2QQ5000000GEbGMAW/view</t>
  </si>
  <si>
    <t>227174/Z/23/Z</t>
  </si>
  <si>
    <t>Extreme heat and pregnancy complications: harnessing the diverse Australian climate and population for global answers</t>
  </si>
  <si>
    <t>University of Western Australia</t>
  </si>
  <si>
    <t>Biological vulnerability to extreme heat in maternal and child health</t>
  </si>
  <si>
    <t>01/02/2023</t>
  </si>
  <si>
    <t>https://wellcometrust.lightning.force.com/lightning/r/Funding_Record__c/a2QQ5000000GHzFMAW/view</t>
  </si>
  <si>
    <t>227176/Z/23/Z</t>
  </si>
  <si>
    <t>Evaluating pathophysiological mechanisms of acute and chronic heat stress on maternal and fetal health</t>
  </si>
  <si>
    <t>https://wellcometrust.lightning.force.com/lightning/r/Funding_Record__c/a2QQ5000000GJc4MAG/view</t>
  </si>
  <si>
    <t>227178/Z/23/Z</t>
  </si>
  <si>
    <t>Mitigating against life-course complications of heat stress.</t>
  </si>
  <si>
    <t>University of Leeds</t>
  </si>
  <si>
    <t>https://wellcometrust.lightning.force.com/lightning/r/Funding_Record__c/a2QQ5000000G8l6MAC/view</t>
  </si>
  <si>
    <t>227179/Z/23/Z</t>
  </si>
  <si>
    <t>Impact of extreme heat events on risk and mitigation of neural tube defects</t>
  </si>
  <si>
    <t>https://wellcometrust.lightning.force.com/lightning/r/Funding_Record__c/a2QQ5000000G9QyMAK/view</t>
  </si>
  <si>
    <t>227188/Z/23/Z</t>
  </si>
  <si>
    <t>The HEaT INFORM Pregnancy Study</t>
  </si>
  <si>
    <t>University of Sydney</t>
  </si>
  <si>
    <t>https://wellcometrust.lightning.force.com/lightning/r/Funding_Record__c/a2QQ5000000GK16MAG/view</t>
  </si>
  <si>
    <t>227190/Z/23/Z</t>
  </si>
  <si>
    <t>Assessment of biological vulnerability and effects of extreme heat on maternal, fetal and newborn health: implications for policy and action</t>
  </si>
  <si>
    <t>https://wellcometrust.lightning.force.com/lightning/r/Funding_Record__c/a2QQ5000000GJY7MAO/view</t>
  </si>
  <si>
    <t>227191/A/23/Z</t>
  </si>
  <si>
    <t>Effects of extreme heat on maternal, placental and fetal physiology, lactation and newborn health in India</t>
  </si>
  <si>
    <t>Translational Health Science and Technology Institute</t>
  </si>
  <si>
    <t>https://wellcometrust.lightning.force.com/lightning/r/Funding_Record__c/a2QQ5000000GY6lMAG/view</t>
  </si>
  <si>
    <t>227191/Z/23/Z</t>
  </si>
  <si>
    <t>https://wellcometrust.lightning.force.com/lightning/r/Funding_Record__c/a2QQ5000000GPvDMAW/view</t>
  </si>
  <si>
    <t>227199/Z/23/Z</t>
  </si>
  <si>
    <t>Extreme heat and preterm birth in rural Zimbabwe</t>
  </si>
  <si>
    <t>Queen Mary University of London</t>
  </si>
  <si>
    <t>https://wellcometrust.lightning.force.com/lightning/r/Funding_Record__c/a2QQ5000000GQaHMAW/view</t>
  </si>
  <si>
    <t>227204/Z/23/Z</t>
  </si>
  <si>
    <t>Investigating the Biological pathways from HEAT exposure to preterm birth and other adverse maternal and child health outcomes in South Africa (the Bio-HEAT study)</t>
  </si>
  <si>
    <t>https://wellcometrust.lightning.force.com/lightning/r/Funding_Record__c/a2QQ5000000GEYcMAO/view</t>
  </si>
  <si>
    <t>227749/Z/23/Z</t>
  </si>
  <si>
    <t>Sustainable and Healthy Food Systems - Southern Africa (SHEFS-SA)</t>
  </si>
  <si>
    <t>University of Kwazulu Natal</t>
  </si>
  <si>
    <t>Explicitly adap &amp; miti</t>
  </si>
  <si>
    <t>Climate Research  Partnerships 2022/23</t>
  </si>
  <si>
    <t>30/06/2023</t>
  </si>
  <si>
    <t>https://wellcometrust.lightning.force.com/lightning/r/Funding_Record__c/a2QQ5000000GMpqMAG/view</t>
  </si>
  <si>
    <t>227779/Z/23/Z</t>
  </si>
  <si>
    <t>Climate Change Resilient Equitable Healthy Cities in Africa (CLARITY-Africa)</t>
  </si>
  <si>
    <t>https://wellcometrust.lightning.force.com/lightning/r/Funding_Record__c/a2QQ5000000GVmmMAG/view</t>
  </si>
  <si>
    <t>227810/Z/23/Z</t>
  </si>
  <si>
    <t>Climate change and urban health in Latin America</t>
  </si>
  <si>
    <t>https://wellcometrust.lightning.force.com/lightning/r/Funding_Record__c/a2QQ5000000GD3FMAW/view</t>
  </si>
  <si>
    <t>227968/Z/23/Z</t>
  </si>
  <si>
    <t>Oppressive Heat: Heat Stress, Debt Bondage and British Overseas Investment in Cambodian Construction</t>
  </si>
  <si>
    <t>Royal Holloway, University of London</t>
  </si>
  <si>
    <t>Climate Impacts Award Year 1</t>
  </si>
  <si>
    <t>12/07/2023</t>
  </si>
  <si>
    <t>https://wellcometrust.lightning.force.com/lightning/r/Funding_Record__c/a2QQ5000000GCnGMAW/view</t>
  </si>
  <si>
    <t>227978/Z/23/Z</t>
  </si>
  <si>
    <t>Urban Inequality and Spatial Distribution of Heat Mortality in Brazilian Cities</t>
  </si>
  <si>
    <t>World Resources Institute</t>
  </si>
  <si>
    <t>https://wellcometrust.lightning.force.com/lightning/r/Funding_Record__c/a2QQ5000000G8kcMAC/view</t>
  </si>
  <si>
    <t>227993/Z/23/Z</t>
  </si>
  <si>
    <t>The health impacts of climate change on precarious outdoor workers in urban megacities in Vietnam</t>
  </si>
  <si>
    <t>National Centre for Social Research</t>
  </si>
  <si>
    <t>https://wellcometrust.lightning.force.com/lightning/r/Funding_Record__c/a2QQ5000000GIGtMAO/view</t>
  </si>
  <si>
    <t>228005/Z/23/Z</t>
  </si>
  <si>
    <t>Spatialising Climate Impacts on Health:  A Focus on Vulnerable Settlements in Megacities of the Global South</t>
  </si>
  <si>
    <t>Indian Institute for Human Settlements</t>
  </si>
  <si>
    <t>https://wellcometrust.lightning.force.com/lightning/r/Funding_Record__c/a2QQ5000000GZiBMAW/view</t>
  </si>
  <si>
    <t>228009/Z/23/Z</t>
  </si>
  <si>
    <t>Maternal And preGnancy hEalth aNd elevaTed heAt (MAGENTA): novel data-linkages to understand how temperature impacts pregnancy outcomes for people living in deprived communities in Wales and London</t>
  </si>
  <si>
    <t>Swansea University</t>
  </si>
  <si>
    <t>https://wellcometrust.lightning.force.com/lightning/r/Funding_Record__c/a2QQ5000000GH9XMAW/view</t>
  </si>
  <si>
    <t>228025/Z/23/Z</t>
  </si>
  <si>
    <t>The impact of extreme weather events on the mental health of vulnerable populations in Africa (WEMA project)</t>
  </si>
  <si>
    <t>Africa Health Research Institute</t>
  </si>
  <si>
    <t>https://wellcometrust.lightning.force.com/lightning/r/Funding_Record__c/a2QQ5000000GU8jMAG/view</t>
  </si>
  <si>
    <t>228033/Z/23/Z</t>
  </si>
  <si>
    <t>The effects of extreme heat events on mental health in vulnerable urban communities: towards evidence-based policy and practice</t>
  </si>
  <si>
    <t>King's College London</t>
  </si>
  <si>
    <t>https://wellcometrust.lightning.force.com/lightning/r/Funding_Record__c/a2QQ5000000GMrzMAG/view</t>
  </si>
  <si>
    <t>228038/Z/23/Z</t>
  </si>
  <si>
    <t>Effects of Polar Climate Change on Global Health and Healthcare</t>
  </si>
  <si>
    <t>https://wellcometrust.lightning.force.com/lightning/r/Funding_Record__c/a2QQ5000000GCIyMAO/view</t>
  </si>
  <si>
    <t>228050/Z/23/Z</t>
  </si>
  <si>
    <t>Climate Change and Child Malnutrition in Zimbabwe: Evidence to Action</t>
  </si>
  <si>
    <t>Zvitambo Institute for Maternal and Child Health Research</t>
  </si>
  <si>
    <t>Zimbabwe</t>
  </si>
  <si>
    <t>https://wellcometrust.lightning.force.com/lightning/r/Funding_Record__c/a2QQ5000000GIDSMA4/view</t>
  </si>
  <si>
    <t>228057/Z/23/Z</t>
  </si>
  <si>
    <t>Building a climate cohort to monitor health impacts of climate change in Ghana</t>
  </si>
  <si>
    <t>Kintampo Health Research Centre</t>
  </si>
  <si>
    <t>Ghana</t>
  </si>
  <si>
    <t>https://wellcometrust.lightning.force.com/lightning/r/Funding_Record__c/a2QQ5000000GMdHMAW/view</t>
  </si>
  <si>
    <t>228064/Z/23/Z</t>
  </si>
  <si>
    <t>Visibilizing climate change impacts on nutrition and mental health among vulnerable populations in East African drylands to catalyse climate action at scale (Visibilize4ClimateAction in East Africa Project)</t>
  </si>
  <si>
    <t>African Population &amp; Health Research Centre, Kenya</t>
  </si>
  <si>
    <t>https://wellcometrust.lightning.force.com/lightning/r/Funding_Record__c/a2QQ5000000GV0cMAG/view</t>
  </si>
  <si>
    <t>228211/Z/23/Z</t>
  </si>
  <si>
    <t>Grand Challenge on Climate Change and Health - Africa</t>
  </si>
  <si>
    <t>Science for Africa Foundation (SFA)</t>
  </si>
  <si>
    <t>https://wellcometrust.lightning.force.com/lightning/r/Funding_Record__c/a2QQ5000000GNjqMAG/view</t>
  </si>
  <si>
    <t>228212/Z/23/Z</t>
  </si>
  <si>
    <t>Presentation on Indigenous Peoples at Climate Health 2023</t>
  </si>
  <si>
    <t>Sustain Our Abilities</t>
  </si>
  <si>
    <t>https://wellcometrust.lightning.force.com/lightning/r/Funding_Record__c/a2QQ5000000GQCYMA4/view</t>
  </si>
  <si>
    <t>228248/Z/23/Z</t>
  </si>
  <si>
    <t>Bringing climate health impact research to global decision-makers and the public via interactive simulators</t>
  </si>
  <si>
    <t>New Venture Fund</t>
  </si>
  <si>
    <t>https://wellcometrust.lightning.force.com/lightning/r/Funding_Record__c/a2QQ5000000GTsTMAW/view</t>
  </si>
  <si>
    <t>228253/Z/23/Z</t>
  </si>
  <si>
    <t>FILE Funding Proposal - A Transformative Global Initiative to Accelerate Climate Accountability, Action &amp; Justice</t>
  </si>
  <si>
    <t>Stichting Foundation for International Law for the Environment</t>
  </si>
  <si>
    <t>https://wellcometrust.lightning.force.com/lightning/r/Funding_Record__c/a2QQ5000000GNPMMA4/view</t>
  </si>
  <si>
    <t>228257/Z/23/Z</t>
  </si>
  <si>
    <t>Transitioning from Vulnerable to Vibrant: Building a Disaster Response Framework that Addresses Climate-Health Threats to Communities</t>
  </si>
  <si>
    <t>https://wellcometrust.lightning.force.com/lightning/r/Funding_Record__c/a2QQ5000000GDIGMA4/view</t>
  </si>
  <si>
    <t>228259/Z/23/Z</t>
  </si>
  <si>
    <t>Putting evidence into policy to address health impacts of ENSO</t>
  </si>
  <si>
    <t>https://wellcometrust.lightning.force.com/lightning/r/Funding_Record__c/a2QQ5000000GUMyMAO/view</t>
  </si>
  <si>
    <t>304031/Z/23/Z</t>
  </si>
  <si>
    <t>Cultural programming that puts health at the heart of climate action</t>
  </si>
  <si>
    <t>The Graduate Center, City University of New York</t>
  </si>
  <si>
    <t>Field Building</t>
  </si>
  <si>
    <t>30/09/2024</t>
  </si>
  <si>
    <t>https://wellcometrust.lightning.force.com/lightning/r/Funding_Record__c/a2Q8d00000OCJ5pEAH/view</t>
  </si>
  <si>
    <t>FY 23/24</t>
  </si>
  <si>
    <t>304972/Z/23/Z</t>
  </si>
  <si>
    <t>The Lancet Countdown: Tracking Progress on Health and Climate Change</t>
  </si>
  <si>
    <t>https://wellcometrust.lightning.force.com/lightning/r/Funding_Record__c/a2Q8d00000RxZ28EAF/view</t>
  </si>
  <si>
    <t>306679/Z/23/Z</t>
  </si>
  <si>
    <t>Promoting Ethically Sound and Equitable Climate and Health Research</t>
  </si>
  <si>
    <t>04/09/2023</t>
  </si>
  <si>
    <t>https://wellcometrust.lightning.force.com/lightning/r/Funding_Record__c/a2QQ5000000MK05MAG/view</t>
  </si>
  <si>
    <t>309521/Z/24/Z</t>
  </si>
  <si>
    <t>George Institute for Global Health (India)</t>
  </si>
  <si>
    <t>Directed Call</t>
  </si>
  <si>
    <t>https://wellcometrust.lightning.force.com/lightning/r/Funding_Record__c/a2QQ50000017857MAA/view</t>
  </si>
  <si>
    <t>309772/Z/24/Z</t>
  </si>
  <si>
    <t>https://wellcometrust.lightning.force.com/lightning/r/Funding_Record__c/a2QQ5000001BF9dMAG/view</t>
  </si>
  <si>
    <t>309840/Z/24/Z</t>
  </si>
  <si>
    <t>https://wellcometrust.lightning.force.com/lightning/r/Funding_Record__c/a2QQ5000001CEBWMA4/view</t>
  </si>
  <si>
    <t>310307/Z/24/Z</t>
  </si>
  <si>
    <t>Spatialising Climate Impacts on Health: A Focus on Vulnerable Settlements in Megacities of the Global South</t>
  </si>
  <si>
    <t>International Institute for Environment and Development</t>
  </si>
  <si>
    <t>https://wellcometrust.lightning.force.com/lightning/r/Funding_Record__c/a2QQ5000001ISA9MAO/view</t>
  </si>
  <si>
    <t>310549/Z/24/Z</t>
  </si>
  <si>
    <t>Climate and Health Africa Conference 2024 (CHAC 2024)</t>
  </si>
  <si>
    <t>Centre for Sexual Health and HIV AIDS Research Zimbabwe</t>
  </si>
  <si>
    <t>https://wellcometrust.lightning.force.com/lightning/r/Funding_Record__c/a2QQ5000001LVeXMAW/view</t>
  </si>
  <si>
    <t>310797/Z/24/Z</t>
  </si>
  <si>
    <t>Climate Attribution of Wildfire Smoke Impacts on Priority Population Health in Southeast Asia and Australia (CANBREATHE)</t>
  </si>
  <si>
    <t>University of Canberra</t>
  </si>
  <si>
    <t>Climate Impacts Award</t>
  </si>
  <si>
    <t>311351/Z/24/Z</t>
  </si>
  <si>
    <t>Child Heat Impact-Climate Health Intervention (CHI2): The invisible impact of heat on childhood respiratory health and interventions to ensure optimal child health in Sub-Saharan Africa</t>
  </si>
  <si>
    <t>311494/Z/24/Z</t>
  </si>
  <si>
    <t>Community Climate Health Amongst Livestock Keepers in Kyrgyzstan (CCHALKK)</t>
  </si>
  <si>
    <t>Nossal Institute Limited</t>
  </si>
  <si>
    <t>311673/Z/24/Z</t>
  </si>
  <si>
    <t>SA-CARES - South Africa - Climate Air-emissions and Respiratory Health Early Sensing project</t>
  </si>
  <si>
    <t>University of Cape Town Lung Institute</t>
  </si>
  <si>
    <t>311682/Z/24/Z</t>
  </si>
  <si>
    <t>Catalysing climate change action research for maternal and perinatal health in West Africa: towards evidence-based policy and practice (The CHARTer Project in West Africa)</t>
  </si>
  <si>
    <t>311743/Z/24/Z</t>
  </si>
  <si>
    <t>The heat health burden on First Nations communities in under-resourced remote Australia</t>
  </si>
  <si>
    <t>Menzies School of Health Research</t>
  </si>
  <si>
    <t>311886/Z/24/Z</t>
  </si>
  <si>
    <t>Making extreme weather health impacts visible through household energy, climate, and sustainability policies in frontline communities</t>
  </si>
  <si>
    <t>Trustees of Boston University</t>
  </si>
  <si>
    <t>USA</t>
  </si>
  <si>
    <t>312068/Z/24/Z</t>
  </si>
  <si>
    <t>PAVE – Health: Pacific Action to enhance the Visibility of Evidence on Health and Climate Impacts</t>
  </si>
  <si>
    <t>University of Melbourne</t>
  </si>
  <si>
    <t>312404/Z/24/Z</t>
  </si>
  <si>
    <t>Heatwaves and the health of the elderly in cities of Argentina: new evidence for policy development</t>
  </si>
  <si>
    <t>Center for the Implementation of Public Policies Promoting Equity and Growth</t>
  </si>
  <si>
    <t>Argentina</t>
  </si>
  <si>
    <t>313527/Z/24/Z</t>
  </si>
  <si>
    <t>Policy relevant future scenarios of population health and health systems</t>
  </si>
  <si>
    <t>University of Washington</t>
  </si>
  <si>
    <t>313586/Z/24/Z</t>
  </si>
  <si>
    <t>Digital Evidence Synthesis Tool Innovation Yielding Improvements in Climate &amp; Health (DESTinY)</t>
  </si>
  <si>
    <t>Potsdam Institute for Climate Impact Research</t>
  </si>
  <si>
    <t>Germany</t>
  </si>
  <si>
    <t>Directed Call – DSH - Evidence Synthesis</t>
  </si>
  <si>
    <t>313618/Z/24/Z</t>
  </si>
  <si>
    <t>SOLACE-AI: Synthesis of Online Literature for Adaptation to Climate-Change Emergencies</t>
  </si>
  <si>
    <t>317085/Z/24/Z</t>
  </si>
  <si>
    <t>Proposal for Heat Health Regional Forum in Southeast Asia 2024</t>
  </si>
  <si>
    <t>National University of Singapore</t>
  </si>
  <si>
    <t>Sinapore</t>
  </si>
  <si>
    <t>317649/Z/24/Z</t>
  </si>
  <si>
    <t>Integrating Actions on Air, Climate, and Health: Building Consensus and Advancing Research on Health Effects of Black Carbon</t>
  </si>
  <si>
    <t>317892/Z/24/Z</t>
  </si>
  <si>
    <t>Transforming Climate Science and Services for Health</t>
  </si>
  <si>
    <t>World Meteorological Organisation</t>
  </si>
  <si>
    <t>319769/Z/24/Z</t>
  </si>
  <si>
    <t>Climate and Health on Screen</t>
  </si>
  <si>
    <t>Climate Spring</t>
  </si>
  <si>
    <t>319886/Z/24/Z</t>
  </si>
  <si>
    <t>CHAC Side event: Ministerial Meeting on Climate and Health in Africa</t>
  </si>
  <si>
    <t>033340/Z/97/B</t>
  </si>
  <si>
    <t>Wider Portfolio</t>
  </si>
  <si>
    <t>Mapping malaria risk and disease burden in Africa.</t>
  </si>
  <si>
    <t>Discovery Research</t>
  </si>
  <si>
    <t>056642/Z/99/Z</t>
  </si>
  <si>
    <t>Forecasting malaria epidemics using remote sensing, population dynamics and geographic information systems (GIS).</t>
  </si>
  <si>
    <t>Infectious Disease</t>
  </si>
  <si>
    <t>Advanced Training Fellowship in Tropical Medicine</t>
  </si>
  <si>
    <t>https://wellcometrust.lightning.force.com/lightning/r/Funding_Record__c/a2QQ5000000GLqjMAG/view</t>
  </si>
  <si>
    <t>070696/Z/03/Z</t>
  </si>
  <si>
    <t>Biological, iatrogenic and socio-political factors in the recent up-surge of tick-borne encephalitis and Lyme disease in the Baltic States.</t>
  </si>
  <si>
    <t>Population and Public Health</t>
  </si>
  <si>
    <t>N/A</t>
  </si>
  <si>
    <t>Project Grant</t>
  </si>
  <si>
    <t>https://wellcometrust.lightning.force.com/lightning/r/Funding_Record__c/a2QQ5000000GaYZMA0/view</t>
  </si>
  <si>
    <t>072465/Z/03/Z</t>
  </si>
  <si>
    <t>Pre- and post-natal exposure to partuculate matter and pregnancy and infant outcomes: an historical cohort study 1961-92.</t>
  </si>
  <si>
    <t>Newcastle University</t>
  </si>
  <si>
    <t>https://wellcometrust.lightning.force.com/lightning/r/Funding_Record__c/a2QQ5000000GF1QMAW/view</t>
  </si>
  <si>
    <t>076583/Z/05/Z</t>
  </si>
  <si>
    <t>The impacts of heat-waves on mortality.</t>
  </si>
  <si>
    <t>London School of Hygiene and Tropical Medicine</t>
  </si>
  <si>
    <t>Research Career Development Fellowship</t>
  </si>
  <si>
    <t>https://wellcometrust.lightning.force.com/lightning/r/Funding_Record__c/a2QQ5000000GJwfMAG/view</t>
  </si>
  <si>
    <t>076951/Z/05/Z</t>
  </si>
  <si>
    <t>Constructing contemporary global maps of Plasmodium falciparum and P.vivax endemicity.</t>
  </si>
  <si>
    <t>Collaborative Projects</t>
  </si>
  <si>
    <t>https://wellcometrust.lightning.force.com/lightning/r/Funding_Record__c/a2QQ5000000GIfDMAW/view</t>
  </si>
  <si>
    <t>077092/Z/05/C</t>
  </si>
  <si>
    <t>KEMRI core extension (2010-2011) -Kenya MOP</t>
  </si>
  <si>
    <t>Kenya Medical Research Institute</t>
  </si>
  <si>
    <t>Africa and Asia Programme</t>
  </si>
  <si>
    <t>https://wellcometrust.lightning.force.com/lightning/r/Funding_Record__c/a2QQ5000000GVZ4MAO/view</t>
  </si>
  <si>
    <t>078925/Z/05/Z</t>
  </si>
  <si>
    <t>Monitoring trends in malaria transmission using serological markers of malaria exposure.</t>
  </si>
  <si>
    <t>Immune System in Health and Disease</t>
  </si>
  <si>
    <t>https://wellcometrust.lightning.force.com/lightning/r/Funding_Record__c/a2QQ5000000GQc9MAG/view</t>
  </si>
  <si>
    <t>079080/Z/06/Z</t>
  </si>
  <si>
    <t>Malaria burden and control at national, regional and global scales.</t>
  </si>
  <si>
    <t>Transition and Legacy</t>
  </si>
  <si>
    <t>Principal Research Fellowship</t>
  </si>
  <si>
    <t>Science</t>
  </si>
  <si>
    <t>https://wellcometrust.lightning.force.com/lightning/r/Funding_Record__c/a2QQ5000000G6PXMA0/view</t>
  </si>
  <si>
    <t>079091/Z/06/Z</t>
  </si>
  <si>
    <t>Environmental change and the epidemiology of Plasmodium falciparum malaria in Africa: 2005 - 2030.</t>
  </si>
  <si>
    <t>Senior Research Fellowship Basic</t>
  </si>
  <si>
    <t>Discovery Researchers</t>
  </si>
  <si>
    <t>https://wellcometrust.lightning.force.com/lightning/r/Funding_Record__c/a2QQ5000000GRvdMAG/view</t>
  </si>
  <si>
    <t>081673/Z/06/Z</t>
  </si>
  <si>
    <t>The epidemiology, spatial ecology and transmission dynamics of co-infection with Plasmodium falciparum and hookworm in East Africa</t>
  </si>
  <si>
    <t>https://wellcometrust.lightning.force.com/lightning/r/Funding_Record__c/a2QQ5000000GReFMAW/view</t>
  </si>
  <si>
    <t>084538/Z/07/Z</t>
  </si>
  <si>
    <t>Developing research capacity and leadership in East Africa from the KEMRI-Wellcome Trust Research Programme, Kenya .</t>
  </si>
  <si>
    <t>Strategic Award - Science</t>
  </si>
  <si>
    <t>https://wellcometrust.lightning.force.com/lightning/r/Funding_Record__c/a2QQ5000000GPoZMAW/view</t>
  </si>
  <si>
    <t>085308/Z/08/Z</t>
  </si>
  <si>
    <t>Epidemiology of zoonoses amongst livestock and their keepers in East Africa.</t>
  </si>
  <si>
    <t>University of Edinburugh</t>
  </si>
  <si>
    <t>https://wellcometrust.lightning.force.com/lightning/r/Funding_Record__c/a2QQ5000000G9JGMA0/view</t>
  </si>
  <si>
    <t>087540/Z/08/Z</t>
  </si>
  <si>
    <t>Training Health Researchers into Vocational Excellence in East Africa (THRiVE).</t>
  </si>
  <si>
    <t>Makerere University</t>
  </si>
  <si>
    <t>Uganda</t>
  </si>
  <si>
    <t>African Institutions Initiative</t>
  </si>
  <si>
    <t>https://wellcometrust.lightning.force.com/lightning/r/Funding_Record__c/a2QQ5000000GMC1MAO/view</t>
  </si>
  <si>
    <t>087547/Z/08/Z</t>
  </si>
  <si>
    <t>Consortium for Advanced Research Training in Africa (CARTA).</t>
  </si>
  <si>
    <t>African Population and Health Research Center</t>
  </si>
  <si>
    <t>Research Environment</t>
  </si>
  <si>
    <t>https://wellcometrust.lightning.force.com/lightning/r/Funding_Record__c/a2QQ5000000GOG8MAO/view</t>
  </si>
  <si>
    <t>089276/Z/09/Z</t>
  </si>
  <si>
    <t>Viet Nam Major Overseas Programme Core Grant Renewal 2010-2015.</t>
  </si>
  <si>
    <t>https://wellcometrust.lightning.force.com/lightning/r/Funding_Record__c/a2QQ5000000GESfMAO/view</t>
  </si>
  <si>
    <t>092654/Z/10/A</t>
  </si>
  <si>
    <t>Oxford part of Kenya MOP renewal 2010 - 2015</t>
  </si>
  <si>
    <t>Translation and Portfolio Integration</t>
  </si>
  <si>
    <t>Major International Programmes</t>
  </si>
  <si>
    <t>https://wellcometrust.lightning.force.com/lightning/r/Funding_Record__c/a2QQ5000000GNzNMAW/view</t>
  </si>
  <si>
    <t>093724/Z/10/Z</t>
  </si>
  <si>
    <t>Wellcome Trust-Vietnam initiative on zoonotic infections WT-VIZIONS</t>
  </si>
  <si>
    <t>Strategic Award Science</t>
  </si>
  <si>
    <t>https://wellcometrust.lightning.force.com/lightning/r/Funding_Record__c/a2QQ5000000G6y8MAC/view</t>
  </si>
  <si>
    <t>095066/Z/10/Z</t>
  </si>
  <si>
    <t>Defining the population at risk and burden of disease of Plasmodium vivax malaria.</t>
  </si>
  <si>
    <t>Senior Researcgh Fellowship Basic Renewal</t>
  </si>
  <si>
    <t>https://wellcometrust.lightning.force.com/lightning/r/Funding_Record__c/a2QQ5000000GDEiMAO/view</t>
  </si>
  <si>
    <t>098045/Z/11/Z</t>
  </si>
  <si>
    <t>Measuring the control and elmination of neglected tropical diseases in Africa.</t>
  </si>
  <si>
    <t>https://wellcometrust.lightning.force.com/lightning/r/Funding_Record__c/a2QQ5000000GMO3MAO/view</t>
  </si>
  <si>
    <t>099876/Z/12/Z</t>
  </si>
  <si>
    <t>Epidemiological mapping of podoconiosis in Ethiopia .</t>
  </si>
  <si>
    <t>University of Sussex</t>
  </si>
  <si>
    <t>International Training Fellowship</t>
  </si>
  <si>
    <t>Early/Mid-Career Researchers</t>
  </si>
  <si>
    <t>https://wellcometrust.lightning.force.com/lightning/r/Funding_Record__c/a2QQ5000000GZPvMAO/view</t>
  </si>
  <si>
    <t>100693/Z/12/Z</t>
  </si>
  <si>
    <t>Wellcome Trust - Imperial College Centre for Global Health Research</t>
  </si>
  <si>
    <t>Centres for Global Health Research</t>
  </si>
  <si>
    <t>https://wellcometrust.lightning.force.com/lightning/r/Funding_Record__c/a2QQ5000000GYKzMAO/view</t>
  </si>
  <si>
    <t>100891/Z/13/Z</t>
  </si>
  <si>
    <t>Wellcome Trust - Cambridge Centre for Global Health Research</t>
  </si>
  <si>
    <t>https://wellcometrust.lightning.force.com/lightning/r/Funding_Record__c/a2QQ5000000GW0kMAG/view</t>
  </si>
  <si>
    <t>101113/Z/13/Z</t>
  </si>
  <si>
    <t>Malawi-Liverpool-Wellcome Trust Clinical Research Programme.</t>
  </si>
  <si>
    <t>Liverpool School of Tropical Medicine</t>
  </si>
  <si>
    <t>https://wellcometrust.lightning.force.com/lightning/r/Funding_Record__c/a2QQ5000000GYvpMAG/view</t>
  </si>
  <si>
    <t>103602/Z/14/Z</t>
  </si>
  <si>
    <t>The malaria transition in East Africa.</t>
  </si>
  <si>
    <t>Principal Research Fellowship Renewal</t>
  </si>
  <si>
    <t>https://wellcometrust.lightning.force.com/lightning/r/Funding_Record__c/a2QQ5000000GaOoMAK/view</t>
  </si>
  <si>
    <t>103932/Z/14/Z</t>
  </si>
  <si>
    <t>Health and environmental implications of low-carbon, climate-change resilient diets in India</t>
  </si>
  <si>
    <t>https://wellcometrust.lightning.force.com/lightning/r/Funding_Record__c/a2QQ5000000GSLUMA4/view</t>
  </si>
  <si>
    <t>106854/Z/15/Z</t>
  </si>
  <si>
    <t>Linking Health and Environmental Outcomes to Dietary Behaviours in the United States</t>
  </si>
  <si>
    <t>Tulane University</t>
  </si>
  <si>
    <t>Priority Area - OPOH</t>
  </si>
  <si>
    <t>https://wellcometrust.lightning.force.com/lightning/r/Funding_Record__c/a2QQ5000000GJPHMA4/view</t>
  </si>
  <si>
    <t>106866/Z/15/Z</t>
  </si>
  <si>
    <t>Seasonal drivers of human movement and aggregation in a changing climate: consequences for infectious disease dynamics and control</t>
  </si>
  <si>
    <t>Princeton University</t>
  </si>
  <si>
    <t>https://wellcometrust.lightning.force.com/lightning/r/Funding_Record__c/a2QQ5000000GUUeMAO/view</t>
  </si>
  <si>
    <t>106871/Z/15/Z</t>
  </si>
  <si>
    <t>Health impacts of a climate change adaptation strategy to address drinking-water salinity in coastal Bangladesh</t>
  </si>
  <si>
    <t>International Centre for Diarrhoeal Research</t>
  </si>
  <si>
    <t>Bangladesh</t>
  </si>
  <si>
    <t>https://wellcometrust.lightning.force.com/lightning/r/Funding_Record__c/a2QQ5000000GNicMAG/view</t>
  </si>
  <si>
    <t>106924/Z/15/Z</t>
  </si>
  <si>
    <t>Future diets and health: how will environmental changes affect food availability, food consumption and health</t>
  </si>
  <si>
    <t>https://wellcometrust.lightning.force.com/lightning/r/Funding_Record__c/a2QQ5000000GMABMA4/view</t>
  </si>
  <si>
    <t>107742/Z/15/Z</t>
  </si>
  <si>
    <t>THRIVE to Research Excellence (THRIVE-2)</t>
  </si>
  <si>
    <t>DELTASs Initiative</t>
  </si>
  <si>
    <t>https://wellcometrust.lightning.force.com/lightning/r/Funding_Record__c/a2QQ5000000GP0iMAG/view</t>
  </si>
  <si>
    <t>107769/Z/15/Z</t>
  </si>
  <si>
    <t>Initiative to Develop African Research Leaders (IDeAL)</t>
  </si>
  <si>
    <t>DELTAs Initiative</t>
  </si>
  <si>
    <t>https://wellcometrust.lightning.force.com/lightning/r/Funding_Record__c/a2QQ5000000GBZWMA4/view</t>
  </si>
  <si>
    <t>200890/Z/16/Z</t>
  </si>
  <si>
    <t>The Countdown to 2030: Global Health and Climate Action</t>
  </si>
  <si>
    <t>https://wellcometrust.lightning.force.com/lightning/r/Funding_Record__c/a2QQ5000000G8B1MAK/view</t>
  </si>
  <si>
    <t>201900/Z/16/Z</t>
  </si>
  <si>
    <t>Global Atlas of Podoconiosis</t>
  </si>
  <si>
    <t>University of Susses</t>
  </si>
  <si>
    <t>Residual Award</t>
  </si>
  <si>
    <t>https://wellcometrust.lightning.force.com/lightning/r/Funding_Record__c/a2QQ5000000GSMNMA4/view</t>
  </si>
  <si>
    <t>203077/Z/16/Z</t>
  </si>
  <si>
    <t>Kenya KWTRP Major Overseas Programme</t>
  </si>
  <si>
    <t>Africa and Asia Programme Renewal</t>
  </si>
  <si>
    <t>https://wellcometrust.lightning.force.com/lightning/r/Funding_Record__c/a2QQ5000000G5BpMAK/view</t>
  </si>
  <si>
    <t>What makes cities healthy, equitable, and environmentally sustainable? Lessons from Latin America</t>
  </si>
  <si>
    <t>205207/Z/16/Z</t>
  </si>
  <si>
    <t>Complex Urban Systems for Sustainability and Health (CUSSH)</t>
  </si>
  <si>
    <t>https://wellcometrust.lightning.force.com/lightning/r/Funding_Record__c/a2QQ5000000GKIaMAO/view</t>
  </si>
  <si>
    <t>210758/Z/18/Z</t>
  </si>
  <si>
    <t>Real-time modelling for forecasts during infectious disease outbreaks</t>
  </si>
  <si>
    <t>https://wellcometrust.lightning.force.com/lightning/r/Funding_Record__c/a2QQ5000000GICcMAO/view</t>
  </si>
  <si>
    <t>210794/Z/18/Z</t>
  </si>
  <si>
    <t>Lancet Series on 'Environment, Agriculture, Food and Health</t>
  </si>
  <si>
    <t>Discretionary Award -OPOH</t>
  </si>
  <si>
    <t>https://wellcometrust.lightning.force.com/lightning/r/Funding_Record__c/a2QQ5000000Ga5qMAC/view</t>
  </si>
  <si>
    <t>213494/Z/18/Z</t>
  </si>
  <si>
    <t>Spatiotemporal dynamics of arbovirus transmission: implications for disease control and elimination</t>
  </si>
  <si>
    <t>Sir Henry Dale Fellowship</t>
  </si>
  <si>
    <t>https://wellcometrust.lightning.force.com/lightning/r/Funding_Record__c/a2QQ5000000GPN7MAO/view</t>
  </si>
  <si>
    <t>215022/Z/18/Z</t>
  </si>
  <si>
    <t>Designing a Planetary Health Watch: Transdisciplinary Stakeholder Engagement</t>
  </si>
  <si>
    <t>https://wellcometrust.lightning.force.com/lightning/r/Funding_Record__c/a2QQ5000000GJYtMAO/view</t>
  </si>
  <si>
    <t>216033-Z-19-Z</t>
  </si>
  <si>
    <t>218632/Z/19/Z</t>
  </si>
  <si>
    <t>Understanding the mechanisms linking cities to psychotic experiences across the lifespan</t>
  </si>
  <si>
    <t>University of Bristol</t>
  </si>
  <si>
    <t>https://wellcometrust.lightning.force.com/lightning/r/Funding_Record__c/a2QQ5000000GON7MAO/view</t>
  </si>
  <si>
    <t>218743/Z/19/Z</t>
  </si>
  <si>
    <t>Does household food biodiversity protect adults against malnutrition and favour the resilience of Shawi Indigenous households to climate change related events?</t>
  </si>
  <si>
    <t>Cayetano Heredia University</t>
  </si>
  <si>
    <t>Peru</t>
  </si>
  <si>
    <t>https://wellcometrust.lightning.force.com/lightning/r/Funding_Record__c/a2QQ5000000GImBMAW/view</t>
  </si>
  <si>
    <t>219169/Z/19/Z</t>
  </si>
  <si>
    <t>SOCIAL SCIENCE IN HUMANITARIAN ACTION PLATFORM: EXPANDING CAPACITY AND REMIT</t>
  </si>
  <si>
    <t>Institute of Development Studies</t>
  </si>
  <si>
    <t>DFID-Wellcome Epidemic Preparedness Grant</t>
  </si>
  <si>
    <t>Epidemics and Epidemiology</t>
  </si>
  <si>
    <t>https://wellcometrust.lightning.force.com/lightning/r/Funding_Record__c/a2QQ5000000GTknMAG/view</t>
  </si>
  <si>
    <t>222180/Z/20/Z</t>
  </si>
  <si>
    <t>The environmental sustainability of data-driven health research: a case-study of genomics and digital phenotyping in the UK</t>
  </si>
  <si>
    <t>Social Sciences</t>
  </si>
  <si>
    <t>https://wellcometrust.lightning.force.com/lightning/r/Funding_Record__c/a2QQ5000000GQRSMA4/view</t>
  </si>
  <si>
    <t>224682/Z/21/Z</t>
  </si>
  <si>
    <t>Standards for official statistics on climate-health interactions</t>
  </si>
  <si>
    <t>Office for National Statistics</t>
  </si>
  <si>
    <t>Discretionary Award – DSH</t>
  </si>
  <si>
    <t>DSH</t>
  </si>
  <si>
    <t>https://wellcometrust.lightning.force.com/lightning/r/Funding_Record__c/a2QQ5000000GMEQMA4/view</t>
  </si>
  <si>
    <t>224694/Z/21/Z</t>
  </si>
  <si>
    <t>Harmonizing multi-scale spatiotemporal data for health in climate change hotspots</t>
  </si>
  <si>
    <t>Barcelona Supercomputing Center, London</t>
  </si>
  <si>
    <t>https://wellcometrust.lightning.force.com/lightning/r/Funding_Record__c/a2QQ5000000GT7GMAW/view</t>
  </si>
  <si>
    <t>224709/Z/21/Z</t>
  </si>
  <si>
    <t>Individualised heat-health early warning systems: A novel digital solution</t>
  </si>
  <si>
    <t>https://wellcometrust.lightning.force.com/lightning/r/Funding_Record__c/a2QQ5000000GMEPMA4/view</t>
  </si>
  <si>
    <t>225436/Z/22/Z</t>
  </si>
  <si>
    <t>Climate and Health Data Capcity Accelerator</t>
  </si>
  <si>
    <t>https://wellcometrust.lightning.force.com/lightning/r/Funding_Record__c/a2QQ5000000G6lKMAS/view</t>
  </si>
  <si>
    <t>225963/Z/22/Z</t>
  </si>
  <si>
    <t>Health RADAR: Responsible Access to Data for Analysis and Research</t>
  </si>
  <si>
    <t>Digital Technology Dev. Award in Climate Sensitive Infectious Disease Modelling</t>
  </si>
  <si>
    <t>https://wellcometrust.lightning.force.com/lightning/r/Funding_Record__c/a2QQ5000000GQs0MAG/view</t>
  </si>
  <si>
    <t>225997/Z/22/Z</t>
  </si>
  <si>
    <t>CLIMate Sensitive DISease forecasting tool - CLIMSEDIS</t>
  </si>
  <si>
    <t>Abdus Salam International Centre for Theoretical Physics</t>
  </si>
  <si>
    <t>Italy</t>
  </si>
  <si>
    <t>https://wellcometrust.lightning.force.com/lightning/r/Funding_Record__c/a2QQ5000000GXgoMAG/view</t>
  </si>
  <si>
    <t>226044/Z/22/Z</t>
  </si>
  <si>
    <t>CliZod, compiling knowledge: A participation database of modelling parameters for climate sensitive zoonotic diseases</t>
  </si>
  <si>
    <t>Massey University</t>
  </si>
  <si>
    <t>https://wellcometrust.lightning.force.com/lightning/r/Funding_Record__c/a2QQ5000000GJkAMAW/view</t>
  </si>
  <si>
    <t>226052/Z/22/Z</t>
  </si>
  <si>
    <t>Dengue Advanced Readiness Tools (DART) - Integrated digital system for dengue outbreak prediction and monitoring</t>
  </si>
  <si>
    <t>National Institute of Hygiene and Epidemiology</t>
  </si>
  <si>
    <t>Vietnam</t>
  </si>
  <si>
    <t>https://wellcometrust.lightning.force.com/lightning/r/Funding_Record__c/a2QQ5000000GT0BMAW/view</t>
  </si>
  <si>
    <t>226053/Z/22/Z</t>
  </si>
  <si>
    <t>Digital Technology for Storm-Related Malaria Response in Mozambique</t>
  </si>
  <si>
    <t>University of Minnesota System</t>
  </si>
  <si>
    <t>https://wellcometrust.lightning.force.com/lightning/r/Funding_Record__c/a2QQ5000000GGhRMAW/view</t>
  </si>
  <si>
    <t>226057/Z/22/Z</t>
  </si>
  <si>
    <t>The Impact of Climate Variability on Infectious Disease Epidemic Risks</t>
  </si>
  <si>
    <t>University of Warwick</t>
  </si>
  <si>
    <t>https://wellcometrust.lightning.force.com/lightning/r/Funding_Record__c/a2QQ5000000GIR9MAO/view</t>
  </si>
  <si>
    <t>226061/Z/22/Z</t>
  </si>
  <si>
    <t>An Open Source Framework for Rift Valley Fever Forecasting</t>
  </si>
  <si>
    <t>EcoHealth Alliance</t>
  </si>
  <si>
    <t>https://wellcometrust.lightning.force.com/lightning/r/Funding_Record__c/a2QQ5000000G9OUMA0/view</t>
  </si>
  <si>
    <t>226064/Z/22/Z</t>
  </si>
  <si>
    <t xml:space="preserve">Co-creation of a multi-pathogen predictive dashboard to improve health system responsiveness to climate-sensitive diseases in rural Madagascar </t>
  </si>
  <si>
    <t>PIVOT Works, Inc. GB</t>
  </si>
  <si>
    <t>https://wellcometrust.lightning.force.com/lightning/r/Funding_Record__c/a2QQ5000000GAhpMAG/view</t>
  </si>
  <si>
    <t>226065/Z/22/Z</t>
  </si>
  <si>
    <t>Climate-driven vector-borne disease risk assessment</t>
  </si>
  <si>
    <t xml:space="preserve">Cyprus Institute </t>
  </si>
  <si>
    <t>Cyprus</t>
  </si>
  <si>
    <t>https://wellcometrust.lightning.force.com/lightning/r/Funding_Record__c/a2QQ5000000GI7ZMAW/view</t>
  </si>
  <si>
    <t>226069/Z/22/Z</t>
  </si>
  <si>
    <t>IDExtremes: A modelling tool to predict the probability of infectious disease outbreaks given compound extreme climatic events</t>
  </si>
  <si>
    <t>United Kigdom</t>
  </si>
  <si>
    <t>https://wellcometrust.lightning.force.com/lightning/r/Funding_Record__c/a2QQ5000000GLHJMA4/view</t>
  </si>
  <si>
    <t>226072/Z/22/Z</t>
  </si>
  <si>
    <t>Climate Sensitive Vector Borne Disease Intervention Tools</t>
  </si>
  <si>
    <t>https://wellcometrust.lightning.force.com/lightning/r/Funding_Record__c/a2QQ5000000GF5dMAG/view</t>
  </si>
  <si>
    <t>226075/Z/22/Z</t>
  </si>
  <si>
    <t>ARBOVERSE: A data-driven platform and disease modeling to anticipating and mitigating arbovirus emergence</t>
  </si>
  <si>
    <t>Iuniversity of Copenhagen</t>
  </si>
  <si>
    <t>Denmark</t>
  </si>
  <si>
    <t>https://wellcometrust.lightning.force.com/lightning/r/Funding_Record__c/a2QQ5000000G9zkMAC/view</t>
  </si>
  <si>
    <t>226078/Z/22/Z</t>
  </si>
  <si>
    <t>WaterPath: A Future Scenario Toolkit for Waterborne Infectious Disease Modelling</t>
  </si>
  <si>
    <t xml:space="preserve">Wageningen University </t>
  </si>
  <si>
    <t>https://wellcometrust.lightning.force.com/lightning/r/Funding_Record__c/a2QQ5000000GCfwMAG/view</t>
  </si>
  <si>
    <t>226080/Z/22/Z</t>
  </si>
  <si>
    <t>A web app for accessible, reproducible, multi-scale regression models for mapping climate driuven infectious disease</t>
  </si>
  <si>
    <t>University of Leicester</t>
  </si>
  <si>
    <t>https://wellcometrust.lightning.force.com/lightning/r/Funding_Record__c/a2QQ5000000GWLsMAO/view</t>
  </si>
  <si>
    <t>226087/A/22/Z</t>
  </si>
  <si>
    <t>Developing an Open-source Software Application for Community Level Cholera Outbreak-Risk Prediction and Feedback through Early Warning Systems (CholOut-EWS): A Pilot Study in Dhaka and Matlab, Bangladesh</t>
  </si>
  <si>
    <t>https://wellcometrust.lightning.force.com/lightning/r/Funding_Record__c/a2QQ5000000GWXJMA4/view</t>
  </si>
  <si>
    <t>226088/Z/22/Z</t>
  </si>
  <si>
    <t>Mosqlimate</t>
  </si>
  <si>
    <t>Fundação Getulio Vargas</t>
  </si>
  <si>
    <t>https://wellcometrust.lightning.force.com/lightning/r/Funding_Record__c/a2QQ5000000GLpmMAG/view</t>
  </si>
  <si>
    <t>226091/Z/22/Z</t>
  </si>
  <si>
    <t>Water-Associated Infectious Diseases in India: Digital Management Tools (WADIM)</t>
  </si>
  <si>
    <t>Plymouth Marine Laboratory</t>
  </si>
  <si>
    <t>https://wellcometrust.lightning.force.com/lightning/r/Funding_Record__c/a2QQ5000000G6RmMAK/view</t>
  </si>
  <si>
    <t>226092/Z/22/Z</t>
  </si>
  <si>
    <t>FloDisMod - A Framework for Flood and Disease Modeling</t>
  </si>
  <si>
    <t>The University of Texas at Austin</t>
  </si>
  <si>
    <t>https://wellcometrust.lightning.force.com/lightning/r/Funding_Record__c/a2QQ5000000GWZnMAO/view</t>
  </si>
  <si>
    <t>226099/Z/22/Z</t>
  </si>
  <si>
    <t>Climate-driven models to predict future risk of arenavirus spillover</t>
  </si>
  <si>
    <t>University of California, Davis</t>
  </si>
  <si>
    <t>https://wellcometrust.lightning.force.com/lightning/r/Funding_Record__c/a2QQ5000000GFlxMAG/view</t>
  </si>
  <si>
    <t>226100/Z/22/Z</t>
  </si>
  <si>
    <t>An enhanced vector-borne disease digital surveillance platform for areas under threat of extreme hydro-meteorolgical events (HydroVec)</t>
  </si>
  <si>
    <t>https://wellcometrust.lightning.force.com/lightning/r/Funding_Record__c/a2QQ5000000GUJsMAO/view</t>
  </si>
  <si>
    <t>226107/Z/22/Z</t>
  </si>
  <si>
    <t>A model-driven software development platform for Climate-Sensitive Infectious Disease Modelling</t>
  </si>
  <si>
    <t>Public Health Agency of Canada</t>
  </si>
  <si>
    <t>https://wellcometrust.lightning.force.com/lightning/r/Funding_Record__c/a2QQ5000000GP8rMAG/view</t>
  </si>
  <si>
    <t>226306/Z/22/Z</t>
  </si>
  <si>
    <t>The CIDACS Climate and Environmental Platform (CIDACS-Clima): A data resource to study climate and health</t>
  </si>
  <si>
    <t>https://wellcometrust.lightning.force.com/lightning/r/Funding_Record__c/a2QQ5000000GCJNMA4/view</t>
  </si>
  <si>
    <t>226428/Z/22/Z</t>
  </si>
  <si>
    <t>Dynamic Infectious Disease Risk Platform for Decision-Makers</t>
  </si>
  <si>
    <t>University of California, San Diego</t>
  </si>
  <si>
    <t>https://wellcometrust.lightning.force.com/lightning/r/Funding_Record__c/a2QQ5000000GUNFMA4/view</t>
  </si>
  <si>
    <t>226429/Z/22/Z</t>
  </si>
  <si>
    <t>Multi-scale seamless prediction of arboviral outbreaks in Thailand (ARBOTHAI)</t>
  </si>
  <si>
    <t>Barcelona Institute for Global Health</t>
  </si>
  <si>
    <t>Spain</t>
  </si>
  <si>
    <t>https://wellcometrust.lightning.force.com/lightning/r/Funding_Record__c/a2QQ5000000GK5CMAW/view</t>
  </si>
  <si>
    <t>226474/Z/22/Z</t>
  </si>
  <si>
    <t>A user-friendly digital prediction tool for dengue prevention</t>
  </si>
  <si>
    <t>University of Queensland</t>
  </si>
  <si>
    <t>https://wellcometrust.lightning.force.com/lightning/r/Funding_Record__c/a2QQ5000000GDswMAG/view</t>
  </si>
  <si>
    <t>228164/Z/23/Z</t>
  </si>
  <si>
    <t>Building political momentum for formalizing health engagement in climate-change negotiations</t>
  </si>
  <si>
    <t>Amref Health Africa</t>
  </si>
  <si>
    <t>GRSP</t>
  </si>
  <si>
    <t>https://wellcometrust.lightning.force.com/lightning/r/Funding_Record__c/a2QQ5000000GKkEMAW/view</t>
  </si>
  <si>
    <t>228193/Z/23/Z</t>
  </si>
  <si>
    <t>Driving Impact through Climate, Health and Creative Partnerships</t>
  </si>
  <si>
    <t>Climate Group NY</t>
  </si>
  <si>
    <t>https://wellcometrust.lightning.force.com/lightning/r/Funding_Record__c/a2QQ5000000GDjoMAG/view</t>
  </si>
  <si>
    <t>228255/Z/23/Z</t>
  </si>
  <si>
    <t>Insights for driving climate action in diverse policy ecosystems</t>
  </si>
  <si>
    <t xml:space="preserve">George Mason University </t>
  </si>
  <si>
    <t>Community Engagement and Campaigns</t>
  </si>
  <si>
    <t>https://wellcometrust.lightning.force.com/lightning/r/Funding_Record__c/a2QQ5000000GNvEMAW/view</t>
  </si>
  <si>
    <t>303809/Z/23/Z</t>
  </si>
  <si>
    <t>What Works Climate Solutions Summit - fostering evidence synthesis and health to inform climate solutions</t>
  </si>
  <si>
    <t>Postdam Institute for Climate Impact Research</t>
  </si>
  <si>
    <t>https://wellcometrust.lightning.force.com/lightning/r/Funding_Record__c/a2Q8d00000OC6xvEAD/view</t>
  </si>
  <si>
    <t>306133/Z/23/Z</t>
  </si>
  <si>
    <t>Improving Reporting of Climate and Health at COP28</t>
  </si>
  <si>
    <t>Internews Europe GB</t>
  </si>
  <si>
    <t>https://wellcometrust.lightning.force.com/lightning/r/Funding_Record__c/a2QQ5000000AJscMAG/view</t>
  </si>
  <si>
    <t>308914/Z/23/Z</t>
  </si>
  <si>
    <t>Bridging Research on Environmental Attribution and Health Equity (BREATHE)</t>
  </si>
  <si>
    <t>Attriverse Call</t>
  </si>
  <si>
    <t>https://wellcometrust.lightning.force.com/lightning/r/Funding_Record__c/a2QQ5000000tywhMAA/view</t>
  </si>
  <si>
    <t>308964/Z/23/Z</t>
  </si>
  <si>
    <t>ACCLIMATISE: Attribution of a Changing CLIMate in the AssessmenT of malaria Intervention Strategy Efficiency</t>
  </si>
  <si>
    <t>Cheikh Anta Diop University</t>
  </si>
  <si>
    <t>Senegal</t>
  </si>
  <si>
    <t>https://wellcometrust.lightning.force.com/lightning/r/Funding_Record__c/a2QQ5000000vGBSMA2/view</t>
  </si>
  <si>
    <t>309105/Z/24/Z</t>
  </si>
  <si>
    <t>Tracking the Impacts of Climate Change on Maternal and Child Health: The Global Heat Attribution Project (GHAP)</t>
  </si>
  <si>
    <t>https://wellcometrust.lightning.force.com/lightning/r/Funding_Record__c/a2QQ5000000zcgHMAQ/view</t>
  </si>
  <si>
    <t>309112/Z/24/Z</t>
  </si>
  <si>
    <t>TACTIC - Health Impact Toolkit for Climate Change Attribution</t>
  </si>
  <si>
    <t>https://wellcometrust.lightning.force.com/lightning/r/Funding_Record__c/a2QQ5000000zm2vMAA/view</t>
  </si>
  <si>
    <t>309305/Z/24/Z</t>
  </si>
  <si>
    <t>AFRIVERSE: Building African Climate-Health Attribution Data, Digitial Tools and Capacity</t>
  </si>
  <si>
    <t>https://wellcometrust.lightning.force.com/lightning/r/Funding_Record__c/a2QQ50000013rFJMAY/view</t>
  </si>
  <si>
    <t>309498/Z/24/Z</t>
  </si>
  <si>
    <t>Digital solutions for attributing climate change impacts on child nutrition and health (CLIMAKID)</t>
  </si>
  <si>
    <t>Vrije Universiteit Brussel</t>
  </si>
  <si>
    <t>https://wellcometrust.lightning.force.com/lightning/r/Funding_Record__c/a2QQ50000016nezMAA/view</t>
  </si>
  <si>
    <t>313934/Z/24/Z</t>
  </si>
  <si>
    <t>Health and the UNFCC - Policy Impact</t>
  </si>
  <si>
    <t>Social Good Fund, Berkeley, GB</t>
  </si>
  <si>
    <t>https://wellcometrust.lightning.force.com/lightning/r/Funding_Record__c/a2QQ5000001uHdVMAU/view</t>
  </si>
  <si>
    <t>C-000392</t>
  </si>
  <si>
    <t>Contract</t>
  </si>
  <si>
    <t>Order for Procurement of Deliverables; Firetail Limited; 2021-04-01</t>
  </si>
  <si>
    <t>C-002181</t>
  </si>
  <si>
    <t>Services Agreement; Careful Industries; 2021-09-06</t>
  </si>
  <si>
    <t>Careful Industries</t>
  </si>
  <si>
    <t>C-002196</t>
  </si>
  <si>
    <t>Services Agreement; Hetco Design Limited; 2021-10-19</t>
  </si>
  <si>
    <t>Hetco Design Limited</t>
  </si>
  <si>
    <t>C-002202</t>
  </si>
  <si>
    <t>Services Agreement; The Meridian Institute; 2021-11-03</t>
  </si>
  <si>
    <t>The Meridian Institute</t>
  </si>
  <si>
    <t>C-002203</t>
  </si>
  <si>
    <t>Services Agreement; Code for Science and Society Inc; 2021-11-11</t>
  </si>
  <si>
    <t>Code for Science and Society Inc.</t>
  </si>
  <si>
    <t>C-002446</t>
  </si>
  <si>
    <t>Order for Procurement of Deliverables; The Meridian Institute; 2018-03-23</t>
  </si>
  <si>
    <t>The Meridian Institute/84-1435420</t>
  </si>
  <si>
    <t>C-002724</t>
  </si>
  <si>
    <t>Services Agreement; University of Washington; 2019-02-12</t>
  </si>
  <si>
    <t>C-002740</t>
  </si>
  <si>
    <t>Services Agreement; EAT Stockholm Food Forum AB (Norway); 2019-06-03</t>
  </si>
  <si>
    <t>EAT Stockholm Food Forum AB (Norway)</t>
  </si>
  <si>
    <t>C-002905</t>
  </si>
  <si>
    <t>Order for Procurement of Deliverables; Stiftelsen the Stockholm Environment Institute; 2020-12-15</t>
  </si>
  <si>
    <t>Stiftelsen the Stockholm Environment Institute</t>
  </si>
  <si>
    <t>C-002961</t>
  </si>
  <si>
    <t>C-002995</t>
  </si>
  <si>
    <t>Order for Procurement of Deliverables; The Meridian Institute; 2021-07-16</t>
  </si>
  <si>
    <t>C-003028</t>
  </si>
  <si>
    <t>Order for Procurement of Deliverables; Project Syndicate; 2021-08-04</t>
  </si>
  <si>
    <t>C-003074</t>
  </si>
  <si>
    <t>Services Agreement; International Organisation Development Limited; 2021-09-16</t>
  </si>
  <si>
    <t>International Organisation Development Limited</t>
  </si>
  <si>
    <t>C-003825</t>
  </si>
  <si>
    <t>(OFPOD) Order for Procurement of Deliverables; Africa Population &amp; Health Research Center (APHRC); 2022-07-29</t>
  </si>
  <si>
    <t>Africa Population and Health Research Center</t>
  </si>
  <si>
    <t>C-004324</t>
  </si>
  <si>
    <t>(OFPOD) Order for Procurement of Deliverables; Imperial College Projects Limited; 2023-03-10</t>
  </si>
  <si>
    <t>Imperial College Projects Limited</t>
  </si>
  <si>
    <t>C-004784</t>
  </si>
  <si>
    <t>(OFPOD) Order for Procurement of Deliverables; Africa Population &amp; Health Research Center (APHRC); 2022-06-22</t>
  </si>
  <si>
    <t>Africa Population and Health Research Center (APHRC)</t>
  </si>
  <si>
    <t>C-010003</t>
  </si>
  <si>
    <t>Order for Procurement of Deliverables; The Meridian Insitute</t>
  </si>
  <si>
    <t>Data for Science and Health</t>
  </si>
  <si>
    <t>C-010007</t>
  </si>
  <si>
    <t>Order for Procurement of Deliverables; IOD Parc; 2023-06-07</t>
  </si>
  <si>
    <t>IOD Parc</t>
  </si>
  <si>
    <t>C-010008</t>
  </si>
  <si>
    <t>Order for Procurement of Deliverables; Liverpool School of Tropical Medicine</t>
  </si>
  <si>
    <t>C-010558</t>
  </si>
  <si>
    <t>(OFPOD) Order for Procurement of Deliverables; African Population &amp; Health Research Center, Kenya; 2023-10-17</t>
  </si>
  <si>
    <t>African Population and Health Research Centre, Kenya</t>
  </si>
  <si>
    <t>C-010600</t>
  </si>
  <si>
    <t>Variation Agreement; Africa Population &amp; Health Research Center (APHRC); 2024-05-14</t>
  </si>
  <si>
    <t>C-010783</t>
  </si>
  <si>
    <t>Service Agreement; The Sustainable Climate Impact Fund</t>
  </si>
  <si>
    <t>The Sustainable Climate Impact Fund</t>
  </si>
  <si>
    <t>C-010907</t>
  </si>
  <si>
    <t>Services Agreement; Science for Africa Foundation (SFA); 2024-06-26</t>
  </si>
  <si>
    <t>Science for Africa (SFA)</t>
  </si>
  <si>
    <t>C-010912</t>
  </si>
  <si>
    <t>(OFPOD) Order for Procurement of Deliverables; Oxentia Ltd; 2024-07-08</t>
  </si>
  <si>
    <t>Oxentia Ltd</t>
  </si>
  <si>
    <t>C-010949</t>
  </si>
  <si>
    <t>Variation Agreement; Imperial College Projects Limited; 2024-01-23</t>
  </si>
  <si>
    <t>C-010950</t>
  </si>
  <si>
    <t>Variation Agreement; Imperial College Projects Limited; 2024-06-06</t>
  </si>
  <si>
    <t>C-011045</t>
  </si>
  <si>
    <t>Putting people at the center of infectious disease decision making; (OFPOD) Order for Procurement of Deliverables; The United Nations Foundation</t>
  </si>
  <si>
    <t>The United Nations Foundation</t>
  </si>
  <si>
    <t xml:space="preserve">SHEFS: OPOH Research Programme Supplements </t>
  </si>
  <si>
    <t xml:space="preserve">LEAP: OPOH Research Programme Supplements </t>
  </si>
  <si>
    <t xml:space="preserve">CUSSH: OPOH Research Programme Supplements </t>
  </si>
  <si>
    <t xml:space="preserve">SALURBAL: OPOH Research Programme Supplements </t>
  </si>
  <si>
    <t>C40 Extension on natural gas</t>
  </si>
  <si>
    <t>DSH data accelerator</t>
  </si>
  <si>
    <t>LMIC commissioners in EAT Lancet</t>
  </si>
  <si>
    <t>Machine learning datasets for C&amp;H</t>
  </si>
  <si>
    <t>Digital infrastructure for C&amp;H</t>
  </si>
  <si>
    <t>National statistics agency</t>
  </si>
  <si>
    <t>CSID awards (Disease Modelling Tools Call)</t>
  </si>
  <si>
    <t>Capacity Strengthening (community of practice)</t>
  </si>
  <si>
    <t>Climate &amp; Health and Mental Health Global Dialogues</t>
  </si>
  <si>
    <t>Attriverse RfQ</t>
  </si>
  <si>
    <t>CSID Implementation Science RfQ</t>
  </si>
  <si>
    <t>Evidence Synthesis RfQ</t>
  </si>
  <si>
    <t>Communities of Practice (Capacity Strengthening RfP) - Africa</t>
  </si>
  <si>
    <t>RISE costed extension</t>
  </si>
  <si>
    <t>Vanuatu initial convening</t>
  </si>
  <si>
    <t>BBC Climate &amp; Health workshop</t>
  </si>
  <si>
    <t xml:space="preserve">Building ethically sound and equitable climate health research </t>
  </si>
  <si>
    <t>C&amp;H/C&amp;H in partnership/wider portfolio (new)</t>
  </si>
  <si>
    <t>In partnership team</t>
  </si>
  <si>
    <t>Wider Wellcome team</t>
  </si>
  <si>
    <t>Scheme Name (old)</t>
  </si>
  <si>
    <t>Scheme type</t>
  </si>
  <si>
    <t>Scheme name if directed call (new)</t>
  </si>
  <si>
    <t>OPOH award?</t>
  </si>
  <si>
    <t>C&amp;H early investment?</t>
  </si>
  <si>
    <t>C&amp;H early investment code mapping from ELT paper</t>
  </si>
  <si>
    <t>Goal 1 alignment?</t>
  </si>
  <si>
    <t>Goal 2 alignment?</t>
  </si>
  <si>
    <t>Goal 3 alignment?</t>
  </si>
  <si>
    <t>Notes</t>
  </si>
  <si>
    <t>C&amp;H</t>
  </si>
  <si>
    <t>Directed funding call</t>
  </si>
  <si>
    <t>Y</t>
  </si>
  <si>
    <t>Discretionary award</t>
  </si>
  <si>
    <t>Supplementary funding for project below</t>
  </si>
  <si>
    <t>1A</t>
  </si>
  <si>
    <t>2A</t>
  </si>
  <si>
    <t>Climate Impacts Award Year 2</t>
  </si>
  <si>
    <t>C&amp;H in partnership</t>
  </si>
  <si>
    <t>Evidence Synthesis Call</t>
  </si>
  <si>
    <t>Corporate Affairs</t>
  </si>
  <si>
    <t>Wider Wellcome</t>
  </si>
  <si>
    <t>Discovery research</t>
  </si>
  <si>
    <t>? - old</t>
  </si>
  <si>
    <t>Transition &amp; legacy</t>
  </si>
  <si>
    <t>This is a repeat of row2, also should be under C&amp;H not wider portfolio</t>
  </si>
  <si>
    <t>This is a repeat of row 9, also should be under C&amp;H not wider portfolio</t>
  </si>
  <si>
    <t>This is a repeat of row 16</t>
  </si>
  <si>
    <t>Infectious disease</t>
  </si>
  <si>
    <t>1C?</t>
  </si>
  <si>
    <t>1D?</t>
  </si>
  <si>
    <t>1B</t>
  </si>
  <si>
    <t>Policy</t>
  </si>
  <si>
    <t>2B?</t>
  </si>
  <si>
    <t>C&amp;H Scheme Names</t>
  </si>
  <si>
    <t>Projects</t>
  </si>
  <si>
    <t>Publications</t>
  </si>
  <si>
    <t>Citations</t>
  </si>
  <si>
    <t>Median RCR</t>
  </si>
  <si>
    <t>Mean RCR</t>
  </si>
  <si>
    <t>Total Altmetric</t>
  </si>
  <si>
    <t>Mean Altmetric</t>
  </si>
  <si>
    <t>Our Planet, Our Health Programme</t>
  </si>
  <si>
    <t> </t>
  </si>
  <si>
    <t xml:space="preserve">Research Enrichment </t>
  </si>
  <si>
    <t>Wellcome C&amp;H Portfolio (Including Above)</t>
  </si>
  <si>
    <t>Grants from Cost Centres</t>
  </si>
  <si>
    <t>Overton Grants Flagged</t>
  </si>
  <si>
    <t>FROM DSH: Some key C&amp;H budget activities from us (can be found on salesforce):</t>
  </si>
  <si>
    <t>Our digital technology development awards</t>
  </si>
  <si>
    <t>HARMONIZE project (Barcelona Supercomputing Centre)</t>
  </si>
  <si>
    <t>Our Attriverse funding call</t>
  </si>
  <si>
    <t>Our evidence synthesis funding call</t>
  </si>
  <si>
    <t>CSID CoP (now called CSID Network)</t>
  </si>
  <si>
    <t>AWARE project</t>
  </si>
  <si>
    <t>CIDACS-Clima</t>
  </si>
  <si>
    <t>Data.org capacity accelerator network</t>
  </si>
  <si>
    <t>Evidence Synthesis</t>
  </si>
  <si>
    <t>Awards</t>
  </si>
  <si>
    <t>Value</t>
  </si>
  <si>
    <t>C&amp;H dashboards by scheme</t>
  </si>
  <si>
    <t>C&amp;H dashboards by area</t>
  </si>
  <si>
    <t>C&amp;H dashboards by status</t>
  </si>
  <si>
    <t>SF cost centre by team / scheme</t>
  </si>
  <si>
    <t>Advancing Evidence Synthesis for Climate and Health</t>
  </si>
  <si>
    <t>Active / Award</t>
  </si>
  <si>
    <t>SF cost centre</t>
  </si>
  <si>
    <t>Completed / Closed</t>
  </si>
  <si>
    <t>Overton linkage</t>
  </si>
  <si>
    <t>DT Dev. Award in Climate Sensitive Infectious Disease Modelling</t>
  </si>
  <si>
    <t>(not yet tagged)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</si>
</sst>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Red]\-&quot;£&quot;#,##0"/>
    <numFmt numFmtId="165" formatCode="dd/mm/yyyy;@"/>
    <numFmt numFmtId="166" formatCode="&quot;£&quot;#,##0.00"/>
    <numFmt numFmtId="167" formatCode="&quot;£&quot;#,##0"/>
  </numFmts>
  <fonts count="19" x14ac:knownFonts="1">
    <font>
      <sz val="11"/>
      <name val="Calibri"/>
    </font>
    <font>
      <sz val="11"/>
      <color theme="1"/>
      <name val="Arial"/>
      <family val="2"/>
    </font>
    <font>
      <b/>
      <sz val="11"/>
      <color rgb="FF000000"/>
      <name val="Calibri"/>
      <family val="2"/>
    </font>
    <font>
      <sz val="11"/>
      <color rgb="FF000000"/>
      <name val="Calibri"/>
      <family val="2"/>
    </font>
    <font>
      <sz val="12"/>
      <name val="Aptos"/>
      <family val="2"/>
      <charset val="1"/>
    </font>
    <font>
      <sz val="11"/>
      <name val="Aptos"/>
      <family val="2"/>
      <charset val="1"/>
    </font>
    <font>
      <b/>
      <sz val="11"/>
      <name val="Calibri"/>
      <family val="2"/>
    </font>
    <font>
      <sz val="11"/>
      <name val="Calibri"/>
      <family val="2"/>
    </font>
    <font>
      <sz val="8"/>
      <name val="Calibri"/>
      <family val="2"/>
    </font>
    <font>
      <u/>
      <sz val="11"/>
      <color theme="10"/>
      <name val="Calibri"/>
      <family val="2"/>
    </font>
    <font>
      <b/>
      <sz val="11"/>
      <name val="Calibri"/>
      <family val="2"/>
      <scheme val="minor"/>
    </font>
    <font>
      <u/>
      <sz val="11"/>
      <color theme="10"/>
      <name val="Calibri"/>
      <family val="2"/>
      <scheme val="minor"/>
    </font>
    <font>
      <sz val="11"/>
      <name val="Calibri"/>
      <family val="2"/>
      <scheme val="minor"/>
    </font>
    <font>
      <sz val="11"/>
      <color rgb="FF000000"/>
      <name val="Calibri"/>
      <family val="2"/>
      <scheme val="minor"/>
    </font>
    <font>
      <b/>
      <sz val="11"/>
      <color rgb="FF000000"/>
      <name val="Calibri"/>
      <family val="2"/>
      <scheme val="minor"/>
    </font>
    <font>
      <sz val="11"/>
      <color rgb="FF444444"/>
      <name val="Calibri"/>
      <family val="2"/>
      <scheme val="minor"/>
    </font>
    <font>
      <sz val="11"/>
      <color theme="1"/>
      <name val="Calibri"/>
      <family val="2"/>
      <scheme val="minor"/>
    </font>
    <font>
      <sz val="12"/>
      <color rgb="FF000000"/>
      <name val="Aptos Narrow"/>
      <family val="2"/>
    </font>
    <font>
      <sz val="8"/>
      <name val="Calibri"/>
      <family val="2"/>
    </font>
  </fonts>
  <fills count="15">
    <fill>
      <patternFill patternType="none"/>
    </fill>
    <fill>
      <patternFill patternType="gray125"/>
    </fill>
    <fill>
      <patternFill patternType="solid">
        <fgColor rgb="FFFFFF00"/>
        <bgColor indexed="64"/>
      </patternFill>
    </fill>
    <fill>
      <patternFill patternType="solid">
        <fgColor theme="5" tint="0.79998168889431442"/>
        <bgColor indexed="64"/>
      </patternFill>
    </fill>
    <fill>
      <patternFill patternType="solid">
        <fgColor rgb="FFFFFF00"/>
        <bgColor rgb="FF000000"/>
      </patternFill>
    </fill>
    <fill>
      <patternFill patternType="solid">
        <fgColor rgb="FFFFFFFF"/>
        <bgColor indexed="64"/>
      </patternFill>
    </fill>
    <fill>
      <patternFill patternType="solid">
        <fgColor theme="8" tint="0.39997558519241921"/>
        <bgColor indexed="64"/>
      </patternFill>
    </fill>
    <fill>
      <patternFill patternType="solid">
        <fgColor rgb="FFFBE2D5"/>
        <bgColor rgb="FF000000"/>
      </patternFill>
    </fill>
    <fill>
      <patternFill patternType="solid">
        <fgColor theme="5"/>
        <bgColor indexed="64"/>
      </patternFill>
    </fill>
    <fill>
      <patternFill patternType="solid">
        <fgColor rgb="FFED7D31"/>
        <bgColor rgb="FF000000"/>
      </patternFill>
    </fill>
    <fill>
      <patternFill patternType="solid">
        <fgColor rgb="FFCCCCFF"/>
        <bgColor indexed="64"/>
      </patternFill>
    </fill>
    <fill>
      <patternFill patternType="solid">
        <fgColor rgb="FFCC99FF"/>
        <bgColor indexed="64"/>
      </patternFill>
    </fill>
    <fill>
      <patternFill patternType="solid">
        <fgColor theme="7" tint="0.59999389629810485"/>
        <bgColor indexed="64"/>
      </patternFill>
    </fill>
    <fill>
      <patternFill patternType="solid">
        <fgColor rgb="FFFF0000"/>
        <bgColor indexed="64"/>
      </patternFill>
    </fill>
    <fill>
      <patternFill patternType="solid">
        <fgColor rgb="FFFF0000"/>
        <bgColor rgb="FF000000"/>
      </patternFill>
    </fill>
  </fills>
  <borders count="7">
    <border>
      <left/>
      <right/>
      <top/>
      <bottom/>
      <diagonal/>
    </border>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bottom/>
      <diagonal/>
    </border>
  </borders>
  <cellStyleXfs count="3">
    <xf numFmtId="0" fontId="0" fillId="0" borderId="0"/>
    <xf numFmtId="0" fontId="1" fillId="0" borderId="1">
      <alignment vertical="center"/>
    </xf>
    <xf numFmtId="0" fontId="9" fillId="0" borderId="0" applyNumberFormat="0" applyFill="0" applyBorder="0" applyAlignment="0" applyProtection="0"/>
  </cellStyleXfs>
  <cellXfs count="96">
    <xf numFmtId="0" fontId="0" fillId="0" borderId="0" xfId="0"/>
    <xf numFmtId="165" fontId="0" fillId="0" borderId="0" xfId="0" applyNumberFormat="1"/>
    <xf numFmtId="0" fontId="2" fillId="0" borderId="2" xfId="0" applyFont="1" applyBorder="1"/>
    <xf numFmtId="0" fontId="2" fillId="0" borderId="3" xfId="0" applyFont="1" applyBorder="1"/>
    <xf numFmtId="0" fontId="3" fillId="0" borderId="4" xfId="0" applyFont="1" applyBorder="1"/>
    <xf numFmtId="0" fontId="3" fillId="0" borderId="5" xfId="0" applyFont="1" applyBorder="1"/>
    <xf numFmtId="164" fontId="3" fillId="0" borderId="5" xfId="0" applyNumberFormat="1" applyFont="1" applyBorder="1"/>
    <xf numFmtId="3" fontId="3" fillId="0" borderId="5" xfId="0" applyNumberFormat="1" applyFont="1" applyBorder="1"/>
    <xf numFmtId="0" fontId="3" fillId="0" borderId="6" xfId="0" applyFont="1" applyBorder="1"/>
    <xf numFmtId="0" fontId="3" fillId="0" borderId="3" xfId="0" applyFont="1" applyBorder="1"/>
    <xf numFmtId="3" fontId="0" fillId="0" borderId="0" xfId="0" applyNumberFormat="1"/>
    <xf numFmtId="0" fontId="4" fillId="4" borderId="0" xfId="0" applyFont="1" applyFill="1"/>
    <xf numFmtId="0" fontId="5" fillId="4" borderId="0" xfId="0" applyFont="1" applyFill="1"/>
    <xf numFmtId="164" fontId="0" fillId="0" borderId="0" xfId="0" applyNumberFormat="1"/>
    <xf numFmtId="0" fontId="0" fillId="0" borderId="0" xfId="0" pivotButton="1"/>
    <xf numFmtId="0" fontId="0" fillId="0" borderId="0" xfId="0" applyAlignment="1">
      <alignment horizontal="left"/>
    </xf>
    <xf numFmtId="166" fontId="0" fillId="0" borderId="0" xfId="0" applyNumberFormat="1"/>
    <xf numFmtId="167" fontId="0" fillId="0" borderId="0" xfId="0" applyNumberFormat="1"/>
    <xf numFmtId="0" fontId="6" fillId="6" borderId="2" xfId="0" applyFont="1" applyFill="1" applyBorder="1" applyAlignment="1">
      <alignment horizontal="center"/>
    </xf>
    <xf numFmtId="167" fontId="6" fillId="6" borderId="2" xfId="0" applyNumberFormat="1" applyFont="1" applyFill="1" applyBorder="1" applyAlignment="1">
      <alignment horizontal="center"/>
    </xf>
    <xf numFmtId="0" fontId="0" fillId="0" borderId="2" xfId="0" applyBorder="1"/>
    <xf numFmtId="167" fontId="0" fillId="0" borderId="2" xfId="0" applyNumberFormat="1" applyBorder="1"/>
    <xf numFmtId="0" fontId="6" fillId="0" borderId="2" xfId="0" applyFont="1" applyBorder="1"/>
    <xf numFmtId="167" fontId="6" fillId="0" borderId="2" xfId="0" applyNumberFormat="1" applyFont="1" applyBorder="1"/>
    <xf numFmtId="0" fontId="7" fillId="0" borderId="2" xfId="0" applyFont="1" applyBorder="1"/>
    <xf numFmtId="0" fontId="0" fillId="0" borderId="2" xfId="0" applyBorder="1" applyAlignment="1">
      <alignment horizontal="right"/>
    </xf>
    <xf numFmtId="0" fontId="7" fillId="0" borderId="2" xfId="0" applyFont="1" applyBorder="1" applyAlignment="1">
      <alignment horizontal="right"/>
    </xf>
    <xf numFmtId="0" fontId="10" fillId="0" borderId="0" xfId="0" applyFont="1"/>
    <xf numFmtId="0" fontId="11" fillId="0" borderId="0" xfId="2" applyFont="1"/>
    <xf numFmtId="0" fontId="12" fillId="0" borderId="0" xfId="0" applyFont="1"/>
    <xf numFmtId="0" fontId="11" fillId="0" borderId="0" xfId="2" applyFont="1" applyAlignment="1">
      <alignment horizontal="left" vertical="top"/>
    </xf>
    <xf numFmtId="0" fontId="13" fillId="0" borderId="0" xfId="0" applyFont="1"/>
    <xf numFmtId="0" fontId="14" fillId="0" borderId="1" xfId="0" applyFont="1" applyBorder="1" applyAlignment="1">
      <alignment horizontal="left" vertical="center"/>
    </xf>
    <xf numFmtId="0" fontId="14" fillId="2" borderId="1" xfId="0" applyFont="1" applyFill="1" applyBorder="1" applyAlignment="1">
      <alignment horizontal="left" vertical="center"/>
    </xf>
    <xf numFmtId="165" fontId="14" fillId="0" borderId="1" xfId="0" applyNumberFormat="1" applyFont="1" applyBorder="1" applyAlignment="1">
      <alignment horizontal="left" vertical="center"/>
    </xf>
    <xf numFmtId="166" fontId="14" fillId="0" borderId="1" xfId="0" applyNumberFormat="1" applyFont="1" applyBorder="1" applyAlignment="1">
      <alignment horizontal="left" vertical="center"/>
    </xf>
    <xf numFmtId="0" fontId="13" fillId="0" borderId="1" xfId="0" applyFont="1" applyBorder="1" applyAlignment="1">
      <alignment horizontal="left" vertical="top"/>
    </xf>
    <xf numFmtId="14" fontId="13" fillId="0" borderId="1" xfId="0" applyNumberFormat="1" applyFont="1" applyBorder="1" applyAlignment="1">
      <alignment horizontal="left" vertical="top"/>
    </xf>
    <xf numFmtId="4" fontId="13" fillId="3" borderId="1" xfId="0" applyNumberFormat="1" applyFont="1" applyFill="1" applyBorder="1" applyAlignment="1">
      <alignment horizontal="left" vertical="top"/>
    </xf>
    <xf numFmtId="4" fontId="13" fillId="0" borderId="1" xfId="0" applyNumberFormat="1" applyFont="1" applyBorder="1" applyAlignment="1">
      <alignment horizontal="left" vertical="top"/>
    </xf>
    <xf numFmtId="166" fontId="13" fillId="0" borderId="1" xfId="0" applyNumberFormat="1" applyFont="1" applyBorder="1" applyAlignment="1">
      <alignment horizontal="left" vertical="top"/>
    </xf>
    <xf numFmtId="0" fontId="13" fillId="2" borderId="1" xfId="0" applyFont="1" applyFill="1" applyBorder="1" applyAlignment="1">
      <alignment horizontal="left" vertical="top"/>
    </xf>
    <xf numFmtId="4" fontId="13" fillId="2" borderId="1" xfId="0" applyNumberFormat="1" applyFont="1" applyFill="1" applyBorder="1" applyAlignment="1">
      <alignment horizontal="left" vertical="top"/>
    </xf>
    <xf numFmtId="0" fontId="12" fillId="0" borderId="1" xfId="0" applyFont="1" applyBorder="1"/>
    <xf numFmtId="0" fontId="15" fillId="0" borderId="1" xfId="0" applyFont="1" applyBorder="1"/>
    <xf numFmtId="0" fontId="13" fillId="0" borderId="1" xfId="0" applyFont="1" applyBorder="1"/>
    <xf numFmtId="167" fontId="14" fillId="2" borderId="1" xfId="0" applyNumberFormat="1" applyFont="1" applyFill="1" applyBorder="1" applyAlignment="1">
      <alignment horizontal="right" vertical="center"/>
    </xf>
    <xf numFmtId="167" fontId="13" fillId="0" borderId="1" xfId="0" applyNumberFormat="1" applyFont="1" applyBorder="1" applyAlignment="1">
      <alignment horizontal="right" vertical="top"/>
    </xf>
    <xf numFmtId="167" fontId="13" fillId="3" borderId="1" xfId="0" applyNumberFormat="1" applyFont="1" applyFill="1" applyBorder="1" applyAlignment="1">
      <alignment horizontal="right" vertical="top"/>
    </xf>
    <xf numFmtId="167" fontId="0" fillId="0" borderId="0" xfId="0" applyNumberFormat="1" applyAlignment="1">
      <alignment horizontal="right"/>
    </xf>
    <xf numFmtId="0" fontId="17" fillId="0" borderId="1" xfId="0" applyFont="1" applyBorder="1"/>
    <xf numFmtId="0" fontId="14" fillId="8" borderId="1" xfId="0" applyFont="1" applyFill="1" applyBorder="1" applyAlignment="1">
      <alignment horizontal="left" vertical="center"/>
    </xf>
    <xf numFmtId="0" fontId="13" fillId="8" borderId="1" xfId="0" applyFont="1" applyFill="1" applyBorder="1" applyAlignment="1">
      <alignment horizontal="left" vertical="top"/>
    </xf>
    <xf numFmtId="0" fontId="0" fillId="8" borderId="0" xfId="0" applyFill="1"/>
    <xf numFmtId="3" fontId="17" fillId="0" borderId="1" xfId="0" applyNumberFormat="1" applyFont="1" applyBorder="1" applyAlignment="1">
      <alignment horizontal="right"/>
    </xf>
    <xf numFmtId="4" fontId="17" fillId="0" borderId="1" xfId="0" applyNumberFormat="1" applyFont="1" applyBorder="1" applyAlignment="1">
      <alignment horizontal="right"/>
    </xf>
    <xf numFmtId="0" fontId="7" fillId="9" borderId="1" xfId="0" applyFont="1" applyFill="1" applyBorder="1"/>
    <xf numFmtId="0" fontId="0" fillId="0" borderId="1" xfId="0" applyBorder="1"/>
    <xf numFmtId="0" fontId="6" fillId="0" borderId="1" xfId="0" applyFont="1" applyBorder="1"/>
    <xf numFmtId="4" fontId="0" fillId="0" borderId="1" xfId="0" applyNumberFormat="1" applyBorder="1"/>
    <xf numFmtId="0" fontId="17" fillId="0" borderId="0" xfId="0" applyFont="1"/>
    <xf numFmtId="0" fontId="17" fillId="7" borderId="0" xfId="0" applyFont="1" applyFill="1"/>
    <xf numFmtId="0" fontId="7" fillId="8" borderId="0" xfId="0" applyFont="1" applyFill="1"/>
    <xf numFmtId="14" fontId="12" fillId="0" borderId="0" xfId="0" applyNumberFormat="1" applyFont="1"/>
    <xf numFmtId="3" fontId="17" fillId="0" borderId="0" xfId="0" applyNumberFormat="1" applyFont="1" applyAlignment="1">
      <alignment horizontal="right"/>
    </xf>
    <xf numFmtId="4" fontId="17" fillId="0" borderId="0" xfId="0" applyNumberFormat="1" applyFont="1" applyAlignment="1">
      <alignment horizontal="right"/>
    </xf>
    <xf numFmtId="4" fontId="17" fillId="7" borderId="0" xfId="0" applyNumberFormat="1" applyFont="1" applyFill="1" applyAlignment="1">
      <alignment horizontal="right"/>
    </xf>
    <xf numFmtId="3" fontId="12" fillId="0" borderId="0" xfId="0" applyNumberFormat="1" applyFont="1"/>
    <xf numFmtId="166" fontId="12" fillId="0" borderId="0" xfId="0" applyNumberFormat="1" applyFont="1"/>
    <xf numFmtId="167" fontId="12" fillId="0" borderId="0" xfId="0" applyNumberFormat="1" applyFont="1" applyAlignment="1">
      <alignment horizontal="right"/>
    </xf>
    <xf numFmtId="0" fontId="16" fillId="0" borderId="0" xfId="0" applyFont="1"/>
    <xf numFmtId="165" fontId="12" fillId="0" borderId="0" xfId="0" applyNumberFormat="1" applyFont="1"/>
    <xf numFmtId="0" fontId="14" fillId="10" borderId="1" xfId="0" applyFont="1" applyFill="1" applyBorder="1" applyAlignment="1">
      <alignment horizontal="left" vertical="center"/>
    </xf>
    <xf numFmtId="0" fontId="13" fillId="11" borderId="1" xfId="0" applyFont="1" applyFill="1" applyBorder="1" applyAlignment="1">
      <alignment wrapText="1"/>
    </xf>
    <xf numFmtId="0" fontId="6" fillId="10" borderId="0" xfId="0" applyFont="1" applyFill="1" applyAlignment="1">
      <alignment wrapText="1"/>
    </xf>
    <xf numFmtId="0" fontId="7" fillId="0" borderId="0" xfId="0" applyFont="1"/>
    <xf numFmtId="0" fontId="6" fillId="0" borderId="0" xfId="0" applyFont="1" applyAlignment="1">
      <alignment wrapText="1"/>
    </xf>
    <xf numFmtId="0" fontId="0" fillId="0" borderId="0" xfId="0" applyAlignment="1">
      <alignment horizontal="right"/>
    </xf>
    <xf numFmtId="0" fontId="0" fillId="12" borderId="0" xfId="0" applyFill="1"/>
    <xf numFmtId="0" fontId="14" fillId="10" borderId="1" xfId="0" applyFont="1" applyFill="1" applyBorder="1" applyAlignment="1">
      <alignment horizontal="left" vertical="center" wrapText="1"/>
    </xf>
    <xf numFmtId="0" fontId="12" fillId="13" borderId="0" xfId="0" applyFont="1" applyFill="1"/>
    <xf numFmtId="0" fontId="13" fillId="13" borderId="0" xfId="0" applyFont="1" applyFill="1"/>
    <xf numFmtId="0" fontId="13" fillId="13" borderId="1" xfId="0" applyFont="1" applyFill="1" applyBorder="1" applyAlignment="1">
      <alignment horizontal="left" vertical="top"/>
    </xf>
    <xf numFmtId="0" fontId="16" fillId="13" borderId="0" xfId="0" applyFont="1" applyFill="1"/>
    <xf numFmtId="0" fontId="7" fillId="14" borderId="1" xfId="0" applyFont="1" applyFill="1" applyBorder="1"/>
    <xf numFmtId="165" fontId="12" fillId="13" borderId="0" xfId="0" applyNumberFormat="1" applyFont="1" applyFill="1"/>
    <xf numFmtId="3" fontId="12" fillId="13" borderId="0" xfId="0" applyNumberFormat="1" applyFont="1" applyFill="1"/>
    <xf numFmtId="166" fontId="12" fillId="13" borderId="0" xfId="0" applyNumberFormat="1" applyFont="1" applyFill="1"/>
    <xf numFmtId="167" fontId="12" fillId="13" borderId="0" xfId="0" applyNumberFormat="1" applyFont="1" applyFill="1" applyAlignment="1">
      <alignment horizontal="right"/>
    </xf>
    <xf numFmtId="0" fontId="11" fillId="13" borderId="0" xfId="2" applyFont="1" applyFill="1"/>
    <xf numFmtId="0" fontId="0" fillId="13" borderId="0" xfId="0" applyFill="1"/>
    <xf numFmtId="14" fontId="12" fillId="13" borderId="0" xfId="0" applyNumberFormat="1" applyFont="1" applyFill="1"/>
    <xf numFmtId="0" fontId="11" fillId="0" borderId="1" xfId="2" applyFont="1" applyBorder="1"/>
    <xf numFmtId="0" fontId="11" fillId="2" borderId="1" xfId="2" applyFont="1" applyFill="1" applyBorder="1"/>
    <xf numFmtId="0" fontId="11" fillId="5" borderId="1" xfId="2" applyFont="1" applyFill="1" applyBorder="1" applyAlignment="1">
      <alignment wrapText="1"/>
    </xf>
    <xf numFmtId="0" fontId="11" fillId="13" borderId="1" xfId="2" applyFont="1" applyFill="1" applyBorder="1"/>
  </cellXfs>
  <cellStyles count="3">
    <cellStyle name="Hyperlink" xfId="2" builtinId="8"/>
    <cellStyle name="Normal" xfId="0" builtinId="0"/>
    <cellStyle name="Normal 2" xfId="1" xr:uid="{C6BEBF85-DCAD-4E25-8810-BDB609DCAFC1}"/>
  </cellStyles>
  <dxfs count="1">
    <dxf>
      <font>
        <color rgb="FF9C0006"/>
      </font>
      <fill>
        <patternFill>
          <bgColor rgb="FFFFC7CE"/>
        </patternFill>
      </fill>
    </dxf>
  </dxfs>
  <tableStyles count="0" defaultTableStyle="TableStyleMedium2" defaultPivotStyle="PivotStyleLight16"/>
  <colors>
    <mruColors>
      <color rgb="FFCCCCFF"/>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ustomXml" Target="../customXml/item1.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Melina Galdos" id="{E1E67A8F-48FF-41AE-834B-816F8750179A}" userId="M.Galdos@wellcome.ac.uk" providerId="PeoplePicker"/>
  <person displayName="Melina Galdos" id="{F9E807FF-5987-4888-AF8B-2D8ACA10FD93}" userId="S::M.Galdos@wellcome.ac.uk::567aa37c-e748-4cce-b672-00c1ac749266" providerId="AD"/>
  <person displayName="Sarah Holliday" id="{F4B76944-4267-4CB6-8A92-0567974A2C5A}" userId="S::s.holliday@wellcome.ac.uk::c64aaa82-8872-4d61-8082-8391f3c5c82a"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im Killick" refreshedDate="45539.552476041667" createdVersion="8" refreshedVersion="8" minRefreshableVersion="3" recordCount="218" xr:uid="{B86334C9-3DEA-430B-907D-DE84F8AFDFA8}">
  <cacheSource type="worksheet">
    <worksheetSource ref="A1:R222" sheet="Total C&amp;H Awards"/>
  </cacheSource>
  <cacheFields count="18">
    <cacheField name="Grant Reference" numFmtId="0">
      <sharedItems/>
    </cacheField>
    <cacheField name="Source" numFmtId="0">
      <sharedItems count="3">
        <s v="C&amp;H dashboards"/>
        <s v="SF cost centre"/>
        <s v="Overton Grant ID Flagging"/>
      </sharedItems>
    </cacheField>
    <cacheField name="Title" numFmtId="0">
      <sharedItems/>
    </cacheField>
    <cacheField name="Organisation Name" numFmtId="0">
      <sharedItems/>
    </cacheField>
    <cacheField name="Country" numFmtId="0">
      <sharedItems/>
    </cacheField>
    <cacheField name="Group" numFmtId="0">
      <sharedItems/>
    </cacheField>
    <cacheField name="Award Tracker" numFmtId="0">
      <sharedItems/>
    </cacheField>
    <cacheField name="Area" numFmtId="0">
      <sharedItems containsBlank="1"/>
    </cacheField>
    <cacheField name="C&amp;H area?" numFmtId="0">
      <sharedItems containsBlank="1" count="6">
        <s v="Mitigation"/>
        <s v="Adaptation"/>
        <s v="Impacts"/>
        <s v="Capacity &amp; Field Development"/>
        <s v="Explicitly adap &amp; miti"/>
        <m/>
      </sharedItems>
    </cacheField>
    <cacheField name="Scheme Name" numFmtId="0">
      <sharedItems containsBlank="1" count="19">
        <s v="Sustaining Health Award"/>
        <s v="Our Planet, Our Health Programme Grant"/>
        <s v="Research Enrichment - Public Engagement"/>
        <s v="Discretionary Award - OPOH"/>
        <s v="OPOH Climate Change and Health"/>
        <s v="Research Enrichment - Diversity and Inclusion"/>
        <s v="Discretionary Award"/>
        <s v="Heat adaptation: evaluating interventions to help manage the health effects of heat"/>
        <s v="G7 Mitigation call"/>
        <s v="Biological vulnerability to extreme heat in maternal and child health"/>
        <s v="Climate Research  Partnerships 2022/23"/>
        <s v="Climate Impacts Award Year 1"/>
        <s v="Directed Call"/>
        <s v="Climate Impacts Award"/>
        <s v="Advancing Evidence Synthesis for Climate and Health"/>
        <s v="Discretionary Award – DSH"/>
        <s v="Attriverse Call"/>
        <s v="Digital Technology Dev. Award in Climate Sensitive Infectious Disease Modelling"/>
        <m/>
      </sharedItems>
    </cacheField>
    <cacheField name="Non-C&amp;H team" numFmtId="0">
      <sharedItems containsBlank="1" count="5">
        <m/>
        <s v="DSH"/>
        <s v="Community Engagement and Campaigns"/>
        <s v="Policy"/>
        <s v="GRSP"/>
      </sharedItems>
    </cacheField>
    <cacheField name="Status" numFmtId="0">
      <sharedItems count="5">
        <s v="Closed"/>
        <s v="Completed"/>
        <s v="Active"/>
        <s v="Award"/>
        <s v="Approved"/>
      </sharedItems>
    </cacheField>
    <cacheField name="Effective Date" numFmtId="0">
      <sharedItems containsDate="1" containsBlank="1" containsMixedTypes="1" minDate="1999-09-01T00:00:00" maxDate="2023-12-16T00:00:00"/>
    </cacheField>
    <cacheField name="Award Amount GBP Wellcome" numFmtId="0">
      <sharedItems containsSemiMixedTypes="0" containsString="0" containsNumber="1" minValue="0" maxValue="32168256"/>
    </cacheField>
    <cacheField name="Current Award GBP Wellcome" numFmtId="0">
      <sharedItems containsString="0" containsBlank="1" containsNumber="1" minValue="0" maxValue="45500000"/>
    </cacheField>
    <cacheField name="Award value" numFmtId="166">
      <sharedItems containsSemiMixedTypes="0" containsString="0" containsNumber="1" minValue="4284" maxValue="45500000"/>
    </cacheField>
    <cacheField name="Salesforce Link" numFmtId="0">
      <sharedItems containsBlank="1"/>
    </cacheField>
    <cacheField name="Award Year"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8">
  <r>
    <s v="106856/Z/15/Z"/>
    <x v="0"/>
    <s v="Mini-livestock as sustainable and health-promoting food for nine billion people"/>
    <s v="Wageningen UR"/>
    <s v="Netherlands"/>
    <s v="HIC"/>
    <s v="Yes"/>
    <s v="Climate &amp; Health"/>
    <x v="0"/>
    <x v="0"/>
    <x v="0"/>
    <x v="0"/>
    <s v="07/05/2015"/>
    <n v="323195"/>
    <n v="504855.4"/>
    <n v="504855.4"/>
    <s v="https://wellcometrust.lightning.force.com/lightning/r/Funding_Record__c/a2QQ5000000GBXvMAO/view"/>
    <s v="FY 14/15"/>
  </r>
  <r>
    <s v="205177/Z/16/Z"/>
    <x v="0"/>
    <s v="What makes cities healthy, equitable, and environmentally sustainable?  Lessons from Latin America"/>
    <s v="Drexel University"/>
    <s v="United States"/>
    <s v="HIC"/>
    <s v="Yes"/>
    <s v="Climate &amp; Health"/>
    <x v="1"/>
    <x v="1"/>
    <x v="0"/>
    <x v="1"/>
    <s v="06/10/2016"/>
    <n v="9385397.9900000002"/>
    <n v="10360135.550000001"/>
    <n v="10360135.550000001"/>
    <s v="https://wellcometrust.lightning.force.com/lightning/r/Funding_Record__c/a2QQ5000000GSdNMAW/view"/>
    <s v="FY 15/16"/>
  </r>
  <r>
    <s v="205200/Z/16/Z"/>
    <x v="0"/>
    <s v="Sustainable and Healthy Food Systems (SHEFS)"/>
    <s v="London School of Hygiene &amp; Tropical Medicine"/>
    <s v="United Kingdom"/>
    <s v="UK"/>
    <s v="Yes"/>
    <s v="Climate &amp; Health"/>
    <x v="0"/>
    <x v="1"/>
    <x v="0"/>
    <x v="1"/>
    <s v="06/10/2016"/>
    <n v="5434990"/>
    <n v="6584205.8200000003"/>
    <n v="6584205.8200000003"/>
    <s v="https://wellcometrust.lightning.force.com/lightning/r/Funding_Record__c/a2QQ5000000GLjYMAW/view"/>
    <s v="FY 15/16"/>
  </r>
  <r>
    <s v="205212/B/16/Z"/>
    <x v="0"/>
    <s v="Livestock, Environment and People (LEAP)"/>
    <s v="University of Oxford"/>
    <s v="United Kingdom"/>
    <s v="UK"/>
    <s v="Yes"/>
    <s v="Climate &amp; Health"/>
    <x v="0"/>
    <x v="1"/>
    <x v="0"/>
    <x v="0"/>
    <s v="06/10/2016"/>
    <n v="947699.77"/>
    <n v="944762.5"/>
    <n v="944762.5"/>
    <s v="https://wellcometrust.lightning.force.com/lightning/r/Funding_Record__c/a2QQ5000000GSXoMAO/view"/>
    <s v="FY 15/16"/>
  </r>
  <r>
    <s v="205212/Z/16/Z"/>
    <x v="0"/>
    <s v="Livestock, Environment and People (LEAP)"/>
    <s v="University of Oxford"/>
    <s v="United Kingdom"/>
    <s v="UK"/>
    <s v="Yes"/>
    <s v="Climate &amp; Health"/>
    <x v="0"/>
    <x v="1"/>
    <x v="0"/>
    <x v="1"/>
    <s v="06/10/2016"/>
    <n v="4391572"/>
    <n v="5554778.4800000004"/>
    <n v="5554778.4800000004"/>
    <s v="https://wellcometrust.lightning.force.com/lightning/r/Funding_Record__c/a2QQ5000000GCKIMA4/view"/>
    <s v="FY 15/16"/>
  </r>
  <r>
    <s v="205222/B/16/Z"/>
    <x v="0"/>
    <s v="Health and economic benefits of water-sensitive revitalisation in informal urban settlements"/>
    <s v="Monash University"/>
    <s v="Australia"/>
    <s v="HIC"/>
    <s v="Yes"/>
    <s v="Climate &amp; Health"/>
    <x v="1"/>
    <x v="1"/>
    <x v="0"/>
    <x v="2"/>
    <s v="06/10/2016"/>
    <n v="243492"/>
    <n v="243492"/>
    <n v="243492"/>
    <s v="https://wellcometrust.lightning.force.com/lightning/r/Funding_Record__c/a2QQ5000000GM2pMAG/view"/>
    <s v="FY 16/16"/>
  </r>
  <r>
    <s v="205222/C/16/Z"/>
    <x v="0"/>
    <s v="Health and economic benefits of water-sensitive revitalisation in informal urban settlements"/>
    <s v="Wellcome Sanger Institute"/>
    <s v="United Kingdom"/>
    <s v="UK"/>
    <s v="Yes"/>
    <s v="Climate &amp; Health"/>
    <x v="1"/>
    <x v="1"/>
    <x v="0"/>
    <x v="0"/>
    <s v="06/10/2016"/>
    <n v="364741"/>
    <n v="5456.48"/>
    <n v="5456.48"/>
    <s v="https://wellcometrust.lightning.force.com/lightning/r/Funding_Record__c/a2QQ5000000GGI2MAO/view"/>
    <s v="FY 15/16"/>
  </r>
  <r>
    <s v="205222/Z/16/Z"/>
    <x v="0"/>
    <s v="Health and economic benefits of water-sensitive revitalisation in informal urban settlements"/>
    <s v="Monash University"/>
    <s v="Australia"/>
    <s v="HIC"/>
    <s v="Yes"/>
    <s v="Climate &amp; Health"/>
    <x v="1"/>
    <x v="1"/>
    <x v="0"/>
    <x v="2"/>
    <s v="06/10/2016"/>
    <n v="8472026.4900000002"/>
    <n v="16978954.550000001"/>
    <n v="16978954.550000001"/>
    <s v="https://wellcometrust.lightning.force.com/lightning/r/Funding_Record__c/a2QQ5000000GSkkMAG/view"/>
    <s v="FY 15/16"/>
  </r>
  <r>
    <s v="209376/Z/17/A"/>
    <x v="0"/>
    <s v="Our Planet, Our Health award: Pathways to Equitable Healthy Cities"/>
    <s v="Imperial College London"/>
    <s v="United Kingdom"/>
    <s v="UK"/>
    <s v="Yes"/>
    <s v="Climate &amp; Health"/>
    <x v="1"/>
    <x v="2"/>
    <x v="0"/>
    <x v="1"/>
    <s v="12/05/2022"/>
    <n v="99995"/>
    <n v="0"/>
    <n v="99995"/>
    <s v="https://wellcometrust.lightning.force.com/lightning/r/Funding_Record__c/a2QQ5000000GGoOMAW/view"/>
    <s v="FY 21/22"/>
  </r>
  <r>
    <s v="209376/Z/17/Z"/>
    <x v="0"/>
    <s v="Pathways to Equitable Healthy Cities (London Hub  for Urban Health)"/>
    <s v="Imperial College London"/>
    <s v="United Kingdom"/>
    <s v="UK"/>
    <s v="Yes"/>
    <s v="Climate &amp; Health"/>
    <x v="1"/>
    <x v="3"/>
    <x v="0"/>
    <x v="2"/>
    <s v="30/09/2018"/>
    <n v="5154996"/>
    <n v="5271218.8"/>
    <n v="5271218.8"/>
    <s v="https://wellcometrust.lightning.force.com/lightning/r/Funding_Record__c/a2QQ5000000GZV6MAO/view"/>
    <s v="FY 17/18"/>
  </r>
  <r>
    <s v="209387/Z/17/Z"/>
    <x v="0"/>
    <s v="Complex Urban Systems for Sustainability and Health (London Hub)"/>
    <s v="University College London"/>
    <s v="United Kingdom"/>
    <s v="UK"/>
    <s v="Yes"/>
    <s v="Climate &amp; Health"/>
    <x v="0"/>
    <x v="3"/>
    <x v="0"/>
    <x v="2"/>
    <s v="30/09/2018"/>
    <n v="5150000"/>
    <n v="5872782"/>
    <n v="5872782"/>
    <s v="https://wellcometrust.lightning.force.com/lightning/r/Funding_Record__c/a2QQ5000000GJKFMA4/view"/>
    <s v="FY 17/18"/>
  </r>
  <r>
    <s v="209734/Z/17/Z"/>
    <x v="0"/>
    <s v="Lancet Countdown: Tracking Progress on Health and Climate Change"/>
    <s v="University College London"/>
    <s v="United Kingdom"/>
    <s v="UK"/>
    <s v="Yes"/>
    <s v="Climate &amp; Health"/>
    <x v="2"/>
    <x v="3"/>
    <x v="0"/>
    <x v="2"/>
    <s v="30/09/2018"/>
    <n v="5528492"/>
    <n v="5528492"/>
    <n v="5528492"/>
    <s v="https://wellcometrust.lightning.force.com/lightning/r/Funding_Record__c/a2QQ5000000GEwLMAW/view"/>
    <s v="FY 17/18"/>
  </r>
  <r>
    <s v="210558/Z/18/Z"/>
    <x v="0"/>
    <s v="Development of a WMO/WHO Health and Climate Science Portal (HCSP)"/>
    <s v="World Health Organization, Switzerland"/>
    <s v="Switzerland"/>
    <s v="HIC"/>
    <s v="Yes"/>
    <s v="Climate &amp; Health"/>
    <x v="3"/>
    <x v="3"/>
    <x v="0"/>
    <x v="1"/>
    <s v="30/09/2018"/>
    <n v="368829.7"/>
    <n v="368829.7"/>
    <n v="368829.7"/>
    <s v="https://wellcometrust.lightning.force.com/lightning/r/Funding_Record__c/a2QQ5000000GZUiMAO/view"/>
    <s v="FY 17/18"/>
  </r>
  <r>
    <s v="214533/Z/18/Z"/>
    <x v="0"/>
    <s v="Translating research into action to benefit urban health"/>
    <s v="CDP Worldwide"/>
    <s v="United Kingdom"/>
    <s v="UK"/>
    <s v="Yes"/>
    <s v="Climate &amp; Health"/>
    <x v="1"/>
    <x v="3"/>
    <x v="0"/>
    <x v="0"/>
    <s v="30/09/2018"/>
    <n v="232128"/>
    <n v="256856.74"/>
    <n v="256856.74"/>
    <s v="https://wellcometrust.lightning.force.com/lightning/r/Funding_Record__c/a2QQ5000000GBRoMAO/view"/>
    <s v="FY 17/18"/>
  </r>
  <r>
    <s v="216014/Z/19/Z"/>
    <x v="0"/>
    <s v="Evaluating Health Impacts of Climate Adaptation Strategies"/>
    <s v="University of Exeter"/>
    <s v="United Kingdom"/>
    <s v="UK"/>
    <s v="Yes"/>
    <s v="Climate &amp; Health"/>
    <x v="1"/>
    <x v="4"/>
    <x v="0"/>
    <x v="1"/>
    <s v="10/02/2019"/>
    <n v="499529"/>
    <n v="499529"/>
    <n v="499529"/>
    <s v="https://wellcometrust.lightning.force.com/lightning/r/Funding_Record__c/a2QQ5000000GE88MAG/view"/>
    <s v="FY 18/19"/>
  </r>
  <r>
    <s v="216021/Z/19/Z"/>
    <x v="0"/>
    <s v="Food System Adaptations in Changing Environments in Africa (FACE-Africa)"/>
    <s v="London School of Hygiene &amp; Tropical Medicine"/>
    <s v="United Kingdom"/>
    <s v="UK"/>
    <s v="Yes"/>
    <s v="Climate &amp; Health"/>
    <x v="1"/>
    <x v="4"/>
    <x v="0"/>
    <x v="0"/>
    <s v="10/02/2019"/>
    <n v="480795"/>
    <n v="460459.25"/>
    <n v="460459.25"/>
    <s v="https://wellcometrust.lightning.force.com/lightning/r/Funding_Record__c/a2QQ5000000GMudMAG/view"/>
    <s v="FY 18/19"/>
  </r>
  <r>
    <s v="216027/Z/19/Z"/>
    <x v="0"/>
    <s v="Electric vehicles’ health and climate benefits in China and India"/>
    <s v="Johns Hopkins University"/>
    <s v="United States"/>
    <s v="HIC"/>
    <s v="Yes"/>
    <s v="Climate &amp; Health"/>
    <x v="0"/>
    <x v="4"/>
    <x v="0"/>
    <x v="1"/>
    <s v="10/02/2019"/>
    <n v="305186.01"/>
    <n v="305186.01"/>
    <n v="305186.01"/>
    <s v="https://wellcometrust.lightning.force.com/lightning/r/Funding_Record__c/a2QQ5000000GKqyMAG/view"/>
    <s v="FY 18/19"/>
  </r>
  <r>
    <s v="216029/Z/19/Z"/>
    <x v="0"/>
    <s v="Green spaces, air pollution, and climate-related heat mortality in Latin American cities"/>
    <s v="University of California, Berkeley"/>
    <s v="United States"/>
    <s v="HIC"/>
    <s v="Yes"/>
    <s v="Climate &amp; Health"/>
    <x v="1"/>
    <x v="4"/>
    <x v="0"/>
    <x v="0"/>
    <s v="10/02/2019"/>
    <n v="485001.13"/>
    <n v="482585.3"/>
    <n v="482585.3"/>
    <s v="https://wellcometrust.lightning.force.com/lightning/r/Funding_Record__c/a2QQ5000000GMxgMAG/view"/>
    <s v="FY 18/19"/>
  </r>
  <r>
    <s v="216033/Z/19/Z"/>
    <x v="0"/>
    <s v="Evaluation of Municipal Heat Action Plans (HAPs) in the United States"/>
    <s v="Boston University"/>
    <s v="United States"/>
    <s v="HIC"/>
    <s v="Yes"/>
    <s v="Climate &amp; Health"/>
    <x v="1"/>
    <x v="4"/>
    <x v="0"/>
    <x v="1"/>
    <s v="10/02/2019"/>
    <n v="483015.58"/>
    <n v="483015.58"/>
    <n v="483015.58"/>
    <s v="https://wellcometrust.lightning.force.com/lightning/r/Funding_Record__c/a2QQ5000000GIkSMAW/view"/>
    <s v="FY 18/19"/>
  </r>
  <r>
    <s v="216034/A/19/Z"/>
    <x v="0"/>
    <s v="Climate adaptation and sustainable rural health outcomes in Southern Africa"/>
    <s v="Human Sciences Research Council, South Africa"/>
    <s v="South Africa"/>
    <s v="LMIC"/>
    <s v="Yes"/>
    <s v="Climate &amp; Health"/>
    <x v="1"/>
    <x v="4"/>
    <x v="0"/>
    <x v="0"/>
    <s v="10/02/2019"/>
    <n v="200561.66"/>
    <n v="198045.13"/>
    <n v="198045.13"/>
    <s v="https://wellcometrust.lightning.force.com/lightning/r/Funding_Record__c/a2QQ5000000GZy2MAG/view"/>
    <s v="FY 18/19"/>
  </r>
  <r>
    <s v="216035/Z/19/Z"/>
    <x v="0"/>
    <s v="Health and economic impacts of urban heat islands and greenspace"/>
    <s v="University College London"/>
    <s v="United Kingdom"/>
    <s v="UK"/>
    <s v="Yes"/>
    <s v="Climate &amp; Health"/>
    <x v="2"/>
    <x v="4"/>
    <x v="0"/>
    <x v="2"/>
    <s v="10/02/2019"/>
    <n v="518125"/>
    <n v="519426"/>
    <n v="519426"/>
    <s v="https://wellcometrust.lightning.force.com/lightning/r/Funding_Record__c/a2QQ5000000GQfpMAG/view"/>
    <s v="FY 18/19"/>
  </r>
  <r>
    <s v="216042/Z/19/A"/>
    <x v="0"/>
    <s v="Reducing meat intake to mitigate climate change and improve health"/>
    <s v="University of North Carolina at Chapel Hill"/>
    <s v="United States"/>
    <s v="HIC"/>
    <s v="Yes"/>
    <s v="Climate &amp; Health"/>
    <x v="0"/>
    <x v="5"/>
    <x v="0"/>
    <x v="0"/>
    <s v="10/03/2021"/>
    <n v="18458.62"/>
    <n v="18398.88"/>
    <n v="18398.88"/>
    <s v="https://wellcometrust.lightning.force.com/lightning/r/Funding_Record__c/a2QQ5000000G63dMAC/view"/>
    <s v="FY 18/19"/>
  </r>
  <r>
    <s v="216042/Z/19/Z"/>
    <x v="0"/>
    <s v="Reducing meat intake to mitigate climate change and improve health"/>
    <s v="University of North Carolina at Chapel Hill"/>
    <s v="United States"/>
    <s v="HIC"/>
    <s v="Yes"/>
    <s v="Climate &amp; Health"/>
    <x v="0"/>
    <x v="4"/>
    <x v="0"/>
    <x v="1"/>
    <s v="10/02/2019"/>
    <n v="485609.36"/>
    <n v="495269.03"/>
    <n v="495269.03"/>
    <s v="https://wellcometrust.lightning.force.com/lightning/r/Funding_Record__c/a2QQ5000000GVGkMAO/view"/>
    <s v="FY 20/21"/>
  </r>
  <r>
    <s v="216059/Z/19/Z"/>
    <x v="0"/>
    <s v="Managing heat stress among Bangladesh ready-made clothing industry workers"/>
    <s v="Griffith University"/>
    <s v="Australia"/>
    <s v="HIC"/>
    <s v="Yes"/>
    <s v="Climate &amp; Health"/>
    <x v="2"/>
    <x v="4"/>
    <x v="0"/>
    <x v="0"/>
    <s v="10/02/2019"/>
    <n v="470303.53"/>
    <n v="470303.53"/>
    <n v="470303.53"/>
    <s v="https://wellcometrust.lightning.force.com/lightning/r/Funding_Record__c/a2QQ5000000GUOVMA4/view"/>
    <s v="FY 18/19"/>
  </r>
  <r>
    <s v="216075/Z/19/Z"/>
    <x v="0"/>
    <s v="Methods and tools to integrate air quality and health into urban climate action planning"/>
    <s v="George Washington University"/>
    <s v="United States"/>
    <s v="HIC"/>
    <s v="Yes"/>
    <s v="Climate &amp; Health"/>
    <x v="1"/>
    <x v="4"/>
    <x v="0"/>
    <x v="1"/>
    <s v="10/02/2019"/>
    <n v="485385.3"/>
    <n v="485385.3"/>
    <n v="485385.3"/>
    <s v="https://wellcometrust.lightning.force.com/lightning/r/Funding_Record__c/a2QQ5000000GI8CMAW/view"/>
    <s v="FY 18/19"/>
  </r>
  <r>
    <s v="216080/Z/19/Z"/>
    <x v="0"/>
    <s v="Complex Adaptive Modelling Climate Change Health Impacts in Malawi"/>
    <s v="York University (Canada)"/>
    <s v="Canada"/>
    <s v="HIC"/>
    <s v="Yes"/>
    <s v="Climate &amp; Health"/>
    <x v="3"/>
    <x v="4"/>
    <x v="0"/>
    <x v="1"/>
    <s v="10/02/2019"/>
    <n v="388889.52"/>
    <n v="388889.52"/>
    <n v="388889.52"/>
    <s v="https://wellcometrust.lightning.force.com/lightning/r/Funding_Record__c/a2QQ5000000GYSHMA4/view"/>
    <s v="FY 18/19"/>
  </r>
  <r>
    <s v="216087/Z/19/Z"/>
    <x v="0"/>
    <s v="Air pollution, heat, and health in Brazil under climate change"/>
    <s v="Yale University"/>
    <s v="United States"/>
    <s v="HIC"/>
    <s v="Yes"/>
    <s v="Climate &amp; Health"/>
    <x v="0"/>
    <x v="4"/>
    <x v="0"/>
    <x v="1"/>
    <s v="10/02/2019"/>
    <n v="483841.06"/>
    <n v="483841.06"/>
    <n v="483841.06"/>
    <s v="https://wellcometrust.lightning.force.com/lightning/r/Funding_Record__c/a2QQ5000000GHgoMAG/view"/>
    <s v="FY 18/19"/>
  </r>
  <r>
    <s v="216093/Z/19/Z"/>
    <x v="0"/>
    <s v="Co-Benefits of Climate Actions for Air and Health in India"/>
    <s v="Natural Resources Defense Council, Inc."/>
    <s v="United States"/>
    <s v="HIC"/>
    <s v="Yes"/>
    <s v="Climate &amp; Health"/>
    <x v="0"/>
    <x v="4"/>
    <x v="0"/>
    <x v="0"/>
    <s v="10/02/2019"/>
    <n v="479830.09"/>
    <n v="479830.08"/>
    <n v="479830.08"/>
    <s v="https://wellcometrust.lightning.force.com/lightning/r/Funding_Record__c/a2QQ5000000G9mEMAS/view"/>
    <s v="FY 18/19"/>
  </r>
  <r>
    <s v="216098/Z/19/Z"/>
    <x v="0"/>
    <s v="Rice intensification: could climate change interventions help African malaria elimination?"/>
    <s v="London School of Hygiene &amp; Tropical Medicine"/>
    <s v="United Kingdom"/>
    <s v="UK"/>
    <s v="Yes"/>
    <s v="Climate &amp; Health"/>
    <x v="1"/>
    <x v="4"/>
    <x v="0"/>
    <x v="0"/>
    <s v="10/02/2019"/>
    <n v="490886"/>
    <n v="516916.14"/>
    <n v="516916.14"/>
    <s v="https://wellcometrust.lightning.force.com/lightning/r/Funding_Record__c/a2QQ5000000G8TCMA0/view"/>
    <s v="FY 18/19"/>
  </r>
  <r>
    <s v="219399/Z/19/Z"/>
    <x v="0"/>
    <s v="Expert consultation: implementation of the WHO Housing and health guidelines"/>
    <s v="World Health Organization, Switzerland"/>
    <s v="Switzerland"/>
    <s v="HIC"/>
    <s v="Yes"/>
    <s v="Climate &amp; Health"/>
    <x v="3"/>
    <x v="3"/>
    <x v="0"/>
    <x v="0"/>
    <s v="30/09/2019"/>
    <n v="36751.199999999997"/>
    <n v="36751.199999999997"/>
    <n v="36751.199999999997"/>
    <s v="https://wellcometrust.lightning.force.com/lightning/r/Funding_Record__c/a2QQ5000000GXquMAG/view"/>
    <s v="FY 18/19"/>
  </r>
  <r>
    <s v="219715/Z/19/Z"/>
    <x v="0"/>
    <s v="The Planetary Health Alliance 2.0"/>
    <s v="Johns Hopkins University"/>
    <s v="United States"/>
    <s v="HIC"/>
    <s v="Yes"/>
    <s v="Climate &amp; Health"/>
    <x v="3"/>
    <x v="3"/>
    <x v="0"/>
    <x v="2"/>
    <s v="30/09/2020"/>
    <n v="1544320.83"/>
    <n v="1544320.83"/>
    <n v="1544320.83"/>
    <s v="https://wellcometrust.lightning.force.com/lightning/r/Funding_Record__c/a2QQ5000000GM3qMAG/view"/>
    <s v="FY 19/20"/>
  </r>
  <r>
    <s v="220140/Z/20/Z"/>
    <x v="0"/>
    <s v="Health-sensitive Implementation of Nationally Determined Contributions"/>
    <s v="World Health Organization, Switzerland"/>
    <s v="Switzerland"/>
    <s v="HIC"/>
    <s v="Yes"/>
    <s v="Climate &amp; Health"/>
    <x v="0"/>
    <x v="3"/>
    <x v="0"/>
    <x v="1"/>
    <s v="30/09/2020"/>
    <n v="1961879.6"/>
    <n v="1961879.6"/>
    <n v="1961879.6"/>
    <s v="https://wellcometrust.lightning.force.com/lightning/r/Funding_Record__c/a2QQ5000000GF6UMAW/view"/>
    <s v="FY 19/20"/>
  </r>
  <r>
    <s v="220439/Z/20/Z"/>
    <x v="0"/>
    <s v="EAT Foundation - Bridge Funding"/>
    <s v="EAT Foundation"/>
    <s v="Norway"/>
    <s v="HIC"/>
    <s v="Yes"/>
    <s v="Climate &amp; Health"/>
    <x v="0"/>
    <x v="3"/>
    <x v="0"/>
    <x v="1"/>
    <s v="30/09/2020"/>
    <n v="200000"/>
    <n v="200000"/>
    <n v="200000"/>
    <s v="https://wellcometrust.lightning.force.com/lightning/r/Funding_Record__c/a2QQ5000000G6I8MAK/view"/>
    <s v="FY 19/20"/>
  </r>
  <r>
    <s v="221284/Z/20/Z"/>
    <x v="0"/>
    <s v="Pathfinder Commission for Planetary Health and Prosperity"/>
    <s v="London School of Hygiene &amp; Tropical Medicine"/>
    <s v="United Kingdom"/>
    <s v="UK"/>
    <s v="Yes"/>
    <s v="Climate &amp; Health"/>
    <x v="0"/>
    <x v="3"/>
    <x v="0"/>
    <x v="2"/>
    <s v="30/09/2020"/>
    <n v="1412289"/>
    <n v="1412289"/>
    <n v="1412289"/>
    <s v="https://wellcometrust.lightning.force.com/lightning/r/Funding_Record__c/a2QQ5000000GAmEMAW/view"/>
    <s v="FY 19/20"/>
  </r>
  <r>
    <s v="221362/Z/20/Z"/>
    <x v="0"/>
    <s v="EAT Foundation Wellcome Support"/>
    <s v="EAT Foundation"/>
    <s v="Norway"/>
    <s v="HIC"/>
    <s v="Yes"/>
    <s v="Climate &amp; Health"/>
    <x v="0"/>
    <x v="3"/>
    <x v="0"/>
    <x v="1"/>
    <s v="30/09/2020"/>
    <n v="1001596.43"/>
    <n v="1001596.43"/>
    <n v="1001596.43"/>
    <s v="https://wellcometrust.lightning.force.com/lightning/r/Funding_Record__c/a2QQ5000000GIUqMAO/view"/>
    <s v="FY 19/20"/>
  </r>
  <r>
    <s v="221553/Z/20/Z"/>
    <x v="0"/>
    <s v="The benefits of decarbonised electricity generation in cities"/>
    <s v="C40 Cities"/>
    <s v="United Kingdom"/>
    <s v="UK"/>
    <s v="Yes"/>
    <s v="Climate &amp; Health"/>
    <x v="0"/>
    <x v="3"/>
    <x v="0"/>
    <x v="0"/>
    <s v="30/09/2020"/>
    <n v="233651.81"/>
    <n v="233651.82"/>
    <n v="233651.82"/>
    <s v="https://wellcometrust.lightning.force.com/lightning/r/Funding_Record__c/a2QQ5000000GC6WMAW/view"/>
    <s v="FY 19/20"/>
  </r>
  <r>
    <s v="222053/Z/20/Z"/>
    <x v="0"/>
    <s v="Healthy Food, Healthy Planet (Europe)"/>
    <s v="Climateworks Foundation"/>
    <s v="United States"/>
    <s v="HIC"/>
    <s v="Yes"/>
    <s v="Climate &amp; Health"/>
    <x v="0"/>
    <x v="3"/>
    <x v="0"/>
    <x v="0"/>
    <s v="30/09/2021"/>
    <n v="193378.71"/>
    <n v="193378.71"/>
    <n v="193378.71"/>
    <s v="https://wellcometrust.lightning.force.com/lightning/r/Funding_Record__c/a2QQ5000000GPHCMA4/view"/>
    <s v="FY 20/21"/>
  </r>
  <r>
    <s v="222109/Z/20/Z"/>
    <x v="0"/>
    <s v="Transitioning to a Zero Carbon Food System in Latin America"/>
    <s v="International Development Research Centre, Canada"/>
    <s v="Canada"/>
    <s v="HIC"/>
    <s v="Yes"/>
    <s v="Climate &amp; Health"/>
    <x v="0"/>
    <x v="3"/>
    <x v="0"/>
    <x v="0"/>
    <s v="30/09/2021"/>
    <n v="505089.76"/>
    <n v="494104.58"/>
    <n v="494104.58"/>
    <s v="https://wellcometrust.lightning.force.com/lightning/r/Funding_Record__c/a2QQ5000000GRqWMAW/view"/>
    <s v="FY 20/21"/>
  </r>
  <r>
    <s v="223533/Z/21/Z"/>
    <x v="0"/>
    <s v="Strengthening the climate and health capacity of AfGH and SfGH"/>
    <s v="STOPAIDS"/>
    <s v="United Kingdom"/>
    <s v="UK"/>
    <s v="Yes"/>
    <s v="Climate &amp; Health"/>
    <x v="3"/>
    <x v="3"/>
    <x v="0"/>
    <x v="0"/>
    <s v="30/09/2021"/>
    <n v="49936"/>
    <n v="49936"/>
    <n v="49936"/>
    <s v="https://wellcometrust.lightning.force.com/lightning/r/Funding_Record__c/a2QQ5000000GTJpMAO/view"/>
    <s v="FY 20/21"/>
  </r>
  <r>
    <s v="223534/Z/21/Z"/>
    <x v="0"/>
    <s v="International Health Advocacy for Climate Action -- GCHA capacity grant"/>
    <s v="Social Good Fund"/>
    <s v="United States"/>
    <s v="HIC"/>
    <s v="Yes"/>
    <s v="Climate &amp; Health"/>
    <x v="3"/>
    <x v="3"/>
    <x v="0"/>
    <x v="0"/>
    <s v="30/09/2021"/>
    <n v="46491.67"/>
    <n v="46491.67"/>
    <n v="46491.67"/>
    <s v="https://wellcometrust.lightning.force.com/lightning/r/Funding_Record__c/a2QQ5000000GTJpMAO/view"/>
    <s v="FY 20/21"/>
  </r>
  <r>
    <s v="223758/Z/21/Z"/>
    <x v="0"/>
    <s v="EAT Foundation, Food System Economics Commission, and EAT-Lancet 2.0"/>
    <s v="EAT Foundation"/>
    <s v="Norway"/>
    <s v="HIC"/>
    <s v="Yes"/>
    <s v="Climate &amp; Health"/>
    <x v="0"/>
    <x v="3"/>
    <x v="0"/>
    <x v="1"/>
    <s v="30/09/2021"/>
    <n v="2000000"/>
    <n v="2000000"/>
    <n v="2000000"/>
    <s v="https://wellcometrust.lightning.force.com/lightning/r/Funding_Record__c/a2QQ5000000G9biMAC/view"/>
    <s v="FY 20/21"/>
  </r>
  <r>
    <s v="224028/Z/21/Z"/>
    <x v="0"/>
    <s v="Economic analysis of health impacts of carbon pricing on land-use"/>
    <s v="University of Cambridge"/>
    <s v="United Kingdom"/>
    <s v="UK"/>
    <s v="Yes"/>
    <s v="Climate &amp; Health"/>
    <x v="0"/>
    <x v="3"/>
    <x v="0"/>
    <x v="0"/>
    <s v="30/09/2021"/>
    <n v="50000"/>
    <n v="50000"/>
    <n v="50000"/>
    <s v="https://wellcometrust.lightning.force.com/lightning/r/Funding_Record__c/a2QQ5000000G9INMA0/view"/>
    <s v="FY 20/21"/>
  </r>
  <r>
    <s v="224524/Z/21/Z"/>
    <x v="0"/>
    <s v="Health and the Global Environmental Agenda 2021-2022: A Policy Guide"/>
    <s v="University of Edinburgh"/>
    <s v="United Kingdom"/>
    <s v="UK"/>
    <s v="Yes"/>
    <s v="Climate &amp; Health"/>
    <x v="3"/>
    <x v="3"/>
    <x v="0"/>
    <x v="1"/>
    <s v="30/09/2021"/>
    <n v="21716.32"/>
    <n v="26802.61"/>
    <n v="26802.61"/>
    <s v="https://wellcometrust.lightning.force.com/lightning/r/Funding_Record__c/a2QQ5000000G6sBMAS/view"/>
    <s v="FY 20/21"/>
  </r>
  <r>
    <s v="224696/Z/21/Z"/>
    <x v="0"/>
    <s v="The health, economic and environmental implications of natural gas"/>
    <s v="C40 Cities"/>
    <s v="United Kingdom"/>
    <s v="UK"/>
    <s v="Yes"/>
    <s v="Climate &amp; Health"/>
    <x v="0"/>
    <x v="3"/>
    <x v="0"/>
    <x v="0"/>
    <s v="30/09/2021"/>
    <n v="348227.43"/>
    <n v="366182.89"/>
    <n v="366182.89"/>
    <s v="https://wellcometrust.lightning.force.com/lightning/r/Funding_Record__c/a2QQ5000000GPUVMA4/view"/>
    <s v="FY 20/21"/>
  </r>
  <r>
    <s v="224701/Z/21/Z"/>
    <x v="0"/>
    <s v="Leveraging PHFI’s networks to disseminate recommendations from HCN policy briefs"/>
    <s v="Public Health Foundation of India"/>
    <s v="India"/>
    <s v="LMIC"/>
    <s v="Yes"/>
    <s v="Climate &amp; Health"/>
    <x v="3"/>
    <x v="3"/>
    <x v="0"/>
    <x v="0"/>
    <s v="30/09/2021"/>
    <n v="19956.38"/>
    <n v="18027.88"/>
    <n v="18027.88"/>
    <s v="https://wellcometrust.lightning.force.com/lightning/r/Funding_Record__c/a2QQ5000000GOe6MAG/view"/>
    <s v="FY 20/21"/>
  </r>
  <r>
    <s v="224703/Z/21/Z"/>
    <x v="0"/>
    <s v="Health - Climate - Transport Nexus: Dissemination of Policy Messages"/>
    <s v="SLOCAT Partnership on Sustainable, Low Carbon Transport"/>
    <s v="Belgium"/>
    <s v="HIC"/>
    <s v="Yes"/>
    <s v="Climate &amp; Health"/>
    <x v="0"/>
    <x v="3"/>
    <x v="0"/>
    <x v="0"/>
    <s v="30/09/2021"/>
    <n v="20000"/>
    <n v="19984.900000000001"/>
    <n v="19984.900000000001"/>
    <s v="https://wellcometrust.lightning.force.com/lightning/r/Funding_Record__c/a2QQ5000000GXYSMA4/view"/>
    <s v="FY 20/21"/>
  </r>
  <r>
    <s v="224704/Z/21/Z"/>
    <x v="0"/>
    <s v="Expanding the Health and Climate Network agenda in Latin America"/>
    <s v="Brazilian Institute for Consumers Defence"/>
    <s v="Brazil"/>
    <s v="LMIC"/>
    <s v="Yes"/>
    <s v="Climate &amp; Health"/>
    <x v="3"/>
    <x v="3"/>
    <x v="0"/>
    <x v="0"/>
    <s v="30/09/2021"/>
    <n v="20000"/>
    <n v="20000"/>
    <n v="20000"/>
    <s v="https://wellcometrust.lightning.force.com/lightning/r/Funding_Record__c/a2QQ5000000GGaJMAW/view"/>
    <s v="FY 20/21"/>
  </r>
  <r>
    <s v="224705/Z/21/Z"/>
    <x v="0"/>
    <s v="Dissemination of the Health and Climate Network briefs in Vietnam"/>
    <s v="Research and Training Center for Community Development"/>
    <s v="Switzerland"/>
    <s v="HIC"/>
    <s v="Yes"/>
    <s v="Climate &amp; Health"/>
    <x v="3"/>
    <x v="3"/>
    <x v="0"/>
    <x v="0"/>
    <s v="30/09/2021"/>
    <n v="20000"/>
    <n v="17128.09"/>
    <n v="17128.09"/>
    <s v="https://wellcometrust.lightning.force.com/lightning/r/Funding_Record__c/a2QQ5000000GQoWMAW/view"/>
    <s v="FY 20/21"/>
  </r>
  <r>
    <s v="224708/Z/21/Z"/>
    <x v="0"/>
    <s v="Economic analysis of health impacts of carbon pricing on transport"/>
    <s v="University of Cambridge"/>
    <s v="United Kingdom"/>
    <s v="UK"/>
    <s v="Yes"/>
    <s v="Climate &amp; Health"/>
    <x v="0"/>
    <x v="3"/>
    <x v="0"/>
    <x v="0"/>
    <s v="30/09/2021"/>
    <n v="99600"/>
    <n v="99600"/>
    <n v="99600"/>
    <s v="https://wellcometrust.lightning.force.com/lightning/r/Funding_Record__c/a2QQ5000000GKmzMAG/view"/>
    <s v="FY 20/21"/>
  </r>
  <r>
    <s v="224711/Z/21/Z"/>
    <x v="0"/>
    <s v="Energy Systems That Protect Climate and Health in South Africa"/>
    <s v="Public Health Association Of South Africa"/>
    <s v="South Africa"/>
    <s v="LMIC"/>
    <s v="Yes"/>
    <s v="Climate &amp; Health"/>
    <x v="0"/>
    <x v="3"/>
    <x v="0"/>
    <x v="0"/>
    <s v="30/09/2021"/>
    <n v="19666.57"/>
    <n v="14824.65"/>
    <n v="14824.65"/>
    <s v="https://wellcometrust.lightning.force.com/lightning/r/Funding_Record__c/a2QQ5000000GKmPMAW/view"/>
    <s v="FY 20/21"/>
  </r>
  <r>
    <s v="224715/Z/21/Z"/>
    <x v="0"/>
    <s v="Youth Voices For Planetary Health"/>
    <s v="World Obesity Federation"/>
    <s v="United Kingdom"/>
    <s v="UK"/>
    <s v="Yes"/>
    <s v="Climate &amp; Health"/>
    <x v="3"/>
    <x v="3"/>
    <x v="0"/>
    <x v="0"/>
    <s v="30/09/2021"/>
    <n v="20000"/>
    <n v="12258.9"/>
    <n v="12258.9"/>
    <s v="https://wellcometrust.lightning.force.com/lightning/r/Funding_Record__c/a2QQ5000000GIqzMAG/view"/>
    <s v="FY 20/21"/>
  </r>
  <r>
    <s v="226152/Z/22/Z"/>
    <x v="0"/>
    <s v="Environment-Health Nexus in the Asia-Pacific Region"/>
    <s v="International Institute for Sustainable Development"/>
    <s v="Canada"/>
    <s v="HIC"/>
    <s v="Yes"/>
    <s v="Climate &amp; Health"/>
    <x v="3"/>
    <x v="6"/>
    <x v="0"/>
    <x v="0"/>
    <s v="30/09/2022"/>
    <n v="40621.269999999997"/>
    <n v="40621.269999999997"/>
    <n v="40621.269999999997"/>
    <s v="https://wellcometrust.lightning.force.com/lightning/r/Funding_Record__c/a2QQ5000000GH4DMAW/view"/>
    <s v="FY 21/22"/>
  </r>
  <r>
    <s v="226153/Z/22/Z"/>
    <x v="0"/>
    <s v="Building the Climate Change and Health Field: Placing Health at the Centre of the Global Climate Negotiations"/>
    <s v="World Health Organization, Switzerland"/>
    <s v="Switzerland"/>
    <s v="HIC"/>
    <s v="Yes"/>
    <s v="Climate &amp; Health"/>
    <x v="2"/>
    <x v="6"/>
    <x v="0"/>
    <x v="2"/>
    <s v="30/09/2022"/>
    <n v="4991729.57"/>
    <n v="5375750.0899999999"/>
    <n v="5375750.0899999999"/>
    <s v="https://wellcometrust.lightning.force.com/lightning/r/Funding_Record__c/a2QQ5000000GXFHMA4/view"/>
    <s v="FY 21/22"/>
  </r>
  <r>
    <s v="226469/Z/22/Z"/>
    <x v="0"/>
    <s v="Accelerating Action for Extreme Heat and Health"/>
    <s v="World Health Organization, Switzerland"/>
    <s v="Switzerland"/>
    <s v="HIC"/>
    <s v="Yes"/>
    <s v="Climate &amp; Health"/>
    <x v="2"/>
    <x v="6"/>
    <x v="0"/>
    <x v="2"/>
    <s v="30/09/2022"/>
    <n v="3240788.92"/>
    <n v="3240788.92"/>
    <n v="3240788.92"/>
    <s v="https://wellcometrust.lightning.force.com/lightning/r/Funding_Record__c/a2QQ5000000GYwJMAW/view"/>
    <s v="FY 21/22"/>
  </r>
  <r>
    <s v="226475/Z/22/Z"/>
    <x v="0"/>
    <s v="Young People as Changemakers on Issues of Climate and Health: prep for phase2"/>
    <s v="Restless Development"/>
    <s v="Zambia"/>
    <s v="HIC"/>
    <s v="Yes"/>
    <s v="Climate &amp; Health"/>
    <x v="3"/>
    <x v="6"/>
    <x v="0"/>
    <x v="1"/>
    <s v="30/09/2022"/>
    <n v="99996"/>
    <n v="149996"/>
    <n v="149996"/>
    <s v="https://wellcometrust.lightning.force.com/lightning/r/Funding_Record__c/a2QQ5000000GO4fMAG/view"/>
    <s v="FY 21/22"/>
  </r>
  <r>
    <s v="226478/Z/22/Z"/>
    <x v="0"/>
    <s v="Methane and Health: Accelerating Action to Reduce Methane Emissions and Improve Health"/>
    <s v="Environmental Defense Fund"/>
    <s v="United States"/>
    <s v="HIC"/>
    <s v="Yes"/>
    <s v="Climate &amp; Health"/>
    <x v="0"/>
    <x v="6"/>
    <x v="0"/>
    <x v="1"/>
    <d v="2022-09-30T00:00:00"/>
    <n v="451572.01"/>
    <n v="451572.01"/>
    <n v="451572.01"/>
    <s v="https://wellcometrust.lightning.force.com/lightning/r/Funding_Record__c/a2QQ5000000GLv2MAG/view"/>
    <s v="FY 21/22"/>
  </r>
  <r>
    <s v="226737/Z/22/Z"/>
    <x v="0"/>
    <s v="Health effects of heat in Southeast Asia: Behavioural and structural climate change adaptation interventions in semi-rural Malaysia"/>
    <s v="Monash University Malaysia"/>
    <s v="Malaysia"/>
    <s v="LMIC"/>
    <s v="Yes"/>
    <s v="Climate &amp; Health"/>
    <x v="1"/>
    <x v="7"/>
    <x v="0"/>
    <x v="2"/>
    <s v="29/11/2022"/>
    <n v="1967644"/>
    <n v="1967644"/>
    <n v="1967644"/>
    <s v="https://wellcometrust.lightning.force.com/lightning/r/Funding_Record__c/a2QQ5000000GLREMA4/view"/>
    <s v="FY 22/23"/>
  </r>
  <r>
    <s v="226740/A/22/Z"/>
    <x v="0"/>
    <s v="Economic and Health Impact Assessment of Heat Adaptation Action: Case studies from India"/>
    <s v="University College London"/>
    <s v="United Kingdom"/>
    <s v="UK"/>
    <s v="Yes"/>
    <s v="Climate &amp; Health"/>
    <x v="1"/>
    <x v="7"/>
    <x v="0"/>
    <x v="2"/>
    <s v="29/11/2022"/>
    <n v="153635.67000000001"/>
    <n v="153635.67000000001"/>
    <n v="153635.67000000001"/>
    <s v="https://wellcometrust.lightning.force.com/lightning/r/Funding_Record__c/a2QQ5000000GW5eMAG/view"/>
    <s v="FY 22/23"/>
  </r>
  <r>
    <s v="226740/Z/22/Z"/>
    <x v="0"/>
    <s v="Economic and Health Impact Assessment of Heat Adaptation Action: Case studies from India"/>
    <s v="Institute of Economic Growth"/>
    <s v="India"/>
    <s v="LMIC"/>
    <s v="Yes"/>
    <s v="Climate &amp; Health"/>
    <x v="1"/>
    <x v="7"/>
    <x v="0"/>
    <x v="2"/>
    <s v="29/11/2022"/>
    <n v="1954921.6"/>
    <n v="1954921.6"/>
    <n v="1954921.6"/>
    <s v="https://wellcometrust.lightning.force.com/lightning/r/Funding_Record__c/a2QQ5000000GJmoMAG/view"/>
    <s v="FY 22/23"/>
  </r>
  <r>
    <s v="226745/Z/22/Z"/>
    <x v="0"/>
    <s v="The effects of cool roofs on health, environmental and economic outcomes: a global multi-centre study"/>
    <s v="University of Auckland"/>
    <s v="New Zealand"/>
    <s v="HIC"/>
    <s v="Yes"/>
    <s v="Climate &amp; Health"/>
    <x v="1"/>
    <x v="7"/>
    <x v="0"/>
    <x v="2"/>
    <s v="29/11/2022"/>
    <n v="1916402.35"/>
    <n v="1964772.31"/>
    <n v="1964772.31"/>
    <s v="https://wellcometrust.lightning.force.com/lightning/r/Funding_Record__c/a2QQ5000000G5OyMAK/view"/>
    <s v="FY 22/23"/>
  </r>
  <r>
    <s v="226749/A/22/Z"/>
    <x v="0"/>
    <s v="Trees in croplands in alleviating heat stress in agricultural workers"/>
    <s v="LEAD Foundation"/>
    <s v="Tanzania"/>
    <s v="LMIC"/>
    <s v="Yes"/>
    <s v="Climate &amp; Health"/>
    <x v="1"/>
    <x v="7"/>
    <x v="0"/>
    <x v="2"/>
    <s v="29/11/2022"/>
    <n v="1765252.84"/>
    <n v="1656716.78"/>
    <n v="1656716.78"/>
    <s v="https://wellcometrust.lightning.force.com/lightning/r/Funding_Record__c/a2QQ5000000GEZSMA4/view"/>
    <s v="FY 22/23"/>
  </r>
  <r>
    <s v="226750/Z/22/Z"/>
    <x v="0"/>
    <s v="Effect of housing modification on indoor thermal comfort and malaria vector densities in hot and humid zones of western and coastal Kenya"/>
    <s v="Kenya Medical Research Institute (Kemri)"/>
    <s v="Kenya"/>
    <s v="LMIC"/>
    <s v="Yes"/>
    <s v="Climate &amp; Health"/>
    <x v="1"/>
    <x v="7"/>
    <x v="0"/>
    <x v="2"/>
    <s v="29/11/2022"/>
    <n v="2081241"/>
    <n v="2081241"/>
    <n v="2081241"/>
    <s v="https://wellcometrust.lightning.force.com/lightning/r/Funding_Record__c/a2QQ5000000GX8cMAG/view"/>
    <s v="FY 22/23"/>
  </r>
  <r>
    <s v="226752/Z/22/Z"/>
    <x v="0"/>
    <s v="Assessing the effectiveness of Heat Adaptation &amp; Heat Reduction Interventions for vulnerable population in urban and rural settings of a low- and middle- income country"/>
    <s v="The Aga Khan University, Pakistan"/>
    <s v="Pakistan"/>
    <s v="LMIC"/>
    <s v="Yes"/>
    <s v="Climate &amp; Health"/>
    <x v="1"/>
    <x v="7"/>
    <x v="0"/>
    <x v="2"/>
    <s v="29/11/2022"/>
    <n v="1995263"/>
    <n v="1700152"/>
    <n v="1700152"/>
    <s v="https://wellcometrust.lightning.force.com/lightning/r/Funding_Record__c/a2QQ5000000FvOIMA0/view"/>
    <s v="FY 22/23"/>
  </r>
  <r>
    <s v="226756/Z/22/Z"/>
    <x v="0"/>
    <s v="HABVIA: Heat adaptation benefits for vulnerable groups in Africa"/>
    <s v="University of Cape Town"/>
    <s v="South Africa"/>
    <s v="LMIC"/>
    <s v="Yes"/>
    <s v="Climate &amp; Health"/>
    <x v="1"/>
    <x v="7"/>
    <x v="0"/>
    <x v="2"/>
    <s v="29/11/2022"/>
    <n v="2059071"/>
    <n v="2059071"/>
    <n v="2059071"/>
    <s v="https://wellcometrust.lightning.force.com/lightning/r/Funding_Record__c/a2QQ5000000G5uoMAC/view"/>
    <s v="FY 22/23"/>
  </r>
  <r>
    <s v="226758/Z/22/Z"/>
    <x v="0"/>
    <s v="Co-produced, complex heat adaptation interventions to reduce heat impacts on pregnant women and newborns in Southern Africa: an intervention development and feasibility evaluation study"/>
    <s v="Wits Health Consortium (Pty) Ltd"/>
    <s v="South Africa"/>
    <s v="LMIC"/>
    <s v="Yes"/>
    <s v="Climate &amp; Health"/>
    <x v="1"/>
    <x v="7"/>
    <x v="0"/>
    <x v="2"/>
    <s v="29/11/2022"/>
    <n v="1923263"/>
    <n v="1923263"/>
    <n v="1923263"/>
    <s v="https://wellcometrust.lightning.force.com/lightning/r/Funding_Record__c/a2QQ5000000GGXKMA4/view"/>
    <s v="FY 22/23"/>
  </r>
  <r>
    <s v="226766/Z/22/Z"/>
    <x v="0"/>
    <s v="Evaluating a heat-health action plan in rural Mexico to manage effects of heat"/>
    <s v="Instituto Nacional De Salud Publica"/>
    <s v="Colombia"/>
    <s v="LMIC"/>
    <s v="Yes"/>
    <s v="Climate &amp; Health"/>
    <x v="1"/>
    <x v="7"/>
    <x v="0"/>
    <x v="2"/>
    <s v="29/11/2022"/>
    <n v="1361278.51"/>
    <n v="1361278.51"/>
    <n v="1361278.51"/>
    <s v="https://wellcometrust.lightning.force.com/lightning/r/Funding_Record__c/a2QQ5000000GSU8MAO/view"/>
    <s v="FY 22/23"/>
  </r>
  <r>
    <s v="227123/Z/23/Z"/>
    <x v="0"/>
    <s v="Policy and Implementation for Climate &amp; Health Equity (PAICE)"/>
    <s v="University College London"/>
    <s v="United Kingdom"/>
    <s v="UK"/>
    <s v="Yes"/>
    <s v="Climate &amp; Health"/>
    <x v="0"/>
    <x v="8"/>
    <x v="0"/>
    <x v="2"/>
    <s v="30/11/2022"/>
    <n v="2039784"/>
    <n v="2039784"/>
    <n v="2039784"/>
    <s v="https://wellcometrust.lightning.force.com/lightning/r/Funding_Record__c/a2QQ5000000GXo8MAG/view"/>
    <s v="FY 22/23"/>
  </r>
  <r>
    <s v="227132/Z/23/Z"/>
    <x v="0"/>
    <s v="SHIFT: Sustainable and Healthy Interventions for Food Transitions"/>
    <s v="University of Oxford"/>
    <s v="United Kingdom"/>
    <s v="UK"/>
    <s v="Yes"/>
    <s v="Climate &amp; Health"/>
    <x v="0"/>
    <x v="8"/>
    <x v="0"/>
    <x v="2"/>
    <s v="30/11/2022"/>
    <n v="1698601"/>
    <n v="1698601"/>
    <n v="1698601"/>
    <s v="https://wellcometrust.lightning.force.com/lightning/r/Funding_Record__c/a2QQ5000000GYxWMAW/view"/>
    <s v="FY 22/23"/>
  </r>
  <r>
    <s v="227137/Z/23/Z"/>
    <x v="0"/>
    <s v="Modeling the health benefits of state-specific zero-emissions appliance standards in the United States"/>
    <s v="Boston University"/>
    <s v="United States"/>
    <s v="HIC"/>
    <s v="Yes"/>
    <s v="Climate &amp; Health"/>
    <x v="0"/>
    <x v="8"/>
    <x v="0"/>
    <x v="2"/>
    <s v="30/11/2022"/>
    <n v="1623480.61"/>
    <n v="1623480.61"/>
    <n v="1623480.61"/>
    <s v="https://wellcometrust.lightning.force.com/lightning/r/Funding_Record__c/a2QQ5000000GON3MAO/view"/>
    <s v="FY 22/23"/>
  </r>
  <r>
    <s v="227140/Z/23/Z"/>
    <x v="0"/>
    <s v="Maximising potential of plant-based convenience foods in real-life sustainable diets."/>
    <s v="University of Aberdeen"/>
    <s v="United Kingdom"/>
    <s v="UK"/>
    <s v="Yes"/>
    <s v="Climate &amp; Health"/>
    <x v="0"/>
    <x v="8"/>
    <x v="0"/>
    <x v="2"/>
    <s v="30/11/2022"/>
    <n v="938611"/>
    <n v="938611"/>
    <n v="938611"/>
    <s v="https://wellcometrust.lightning.force.com/lightning/r/Funding_Record__c/a2QQ5000000GUyvMAG/view"/>
    <s v="FY 22/23"/>
  </r>
  <r>
    <s v="227149/Z/23/Z"/>
    <x v="0"/>
    <s v="Climate, Economics and Health: Adding air quality impacts into social cost of carbon estimates"/>
    <s v="New York University"/>
    <s v="United States"/>
    <s v="HIC"/>
    <s v="Yes"/>
    <s v="Climate &amp; Health"/>
    <x v="0"/>
    <x v="8"/>
    <x v="0"/>
    <x v="2"/>
    <s v="30/11/2022"/>
    <n v="1833266.18"/>
    <n v="1833266.18"/>
    <n v="1833266.18"/>
    <s v="https://wellcometrust.lightning.force.com/lightning/r/Funding_Record__c/a2QQ5000000G8aZMAS/view"/>
    <s v="FY 22/23"/>
  </r>
  <r>
    <s v="227150/Z/23/Z"/>
    <x v="0"/>
    <s v="A Health-centred Systems Approach towards Net-Zero: Transforming regional climate mitigation policies (Heal-NZ)"/>
    <s v="University of Birmingham"/>
    <s v="United Kingdom"/>
    <s v="UK"/>
    <s v="Yes"/>
    <s v="Climate &amp; Health"/>
    <x v="0"/>
    <x v="8"/>
    <x v="0"/>
    <x v="2"/>
    <s v="30/11/2022"/>
    <n v="1993812"/>
    <n v="1993812"/>
    <n v="1993812"/>
    <s v="https://wellcometrust.lightning.force.com/lightning/r/Funding_Record__c/a2QQ5000000G948MAC/view"/>
    <s v="FY 22/23"/>
  </r>
  <r>
    <s v="227151/Z/23/Z"/>
    <x v="0"/>
    <s v="A Community Co-design Weatherization and Microgrid Plan for an Equitable Energy Security and Environmental Health"/>
    <s v="The University of Tennessee, Knoxville"/>
    <s v="United States"/>
    <s v="HIC"/>
    <s v="Yes"/>
    <s v="Climate &amp; Health"/>
    <x v="0"/>
    <x v="8"/>
    <x v="0"/>
    <x v="3"/>
    <s v="30/11/2022"/>
    <n v="1388536.51"/>
    <n v="1388536.51"/>
    <n v="1388536.51"/>
    <s v="https://wellcometrust.lightning.force.com/lightning/r/Funding_Record__c/a2QQ5000000GP7aMAG/view"/>
    <s v="FY 22/23"/>
  </r>
  <r>
    <s v="227154/Z/23/Z"/>
    <x v="0"/>
    <s v="Building for health centred, net zero aligned Food Systems Transformation - A Living Good Food Nation Lab"/>
    <s v="University of Edinburgh"/>
    <s v="United Kingdom"/>
    <s v="UK"/>
    <s v="Yes"/>
    <s v="Climate &amp; Health"/>
    <x v="0"/>
    <x v="8"/>
    <x v="0"/>
    <x v="2"/>
    <s v="30/11/2022"/>
    <n v="2039907"/>
    <n v="2039907"/>
    <n v="2039907"/>
    <s v="https://wellcometrust.lightning.force.com/lightning/r/Funding_Record__c/a2QQ5000000GWjyMAG/view"/>
    <s v="FY 22/23"/>
  </r>
  <r>
    <s v="227156/Z/23/Z"/>
    <x v="0"/>
    <s v="Leveraging co-benefits for healthy net-zero transitions in Japanese and other G7 cities: A scalable approach for transformative change"/>
    <s v="Institute for Global Environmental Strategies (IGES)"/>
    <s v="Japan"/>
    <s v="HIC"/>
    <s v="Yes"/>
    <s v="Climate &amp; Health"/>
    <x v="0"/>
    <x v="8"/>
    <x v="0"/>
    <x v="2"/>
    <s v="30/11/2022"/>
    <n v="1491605.61"/>
    <n v="1491605.61"/>
    <n v="1491605.61"/>
    <s v="https://wellcometrust.lightning.force.com/lightning/r/Funding_Record__c/a2QQ5000000GSRYMA4/view"/>
    <s v="FY 22/23"/>
  </r>
  <r>
    <s v="227161/Z/23/Z"/>
    <x v="0"/>
    <s v="Novel Data Technology Applications to Transform Enforcement of Climate and Clean Air Regulation"/>
    <s v="University of Chicago"/>
    <s v="United States"/>
    <s v="HIC"/>
    <s v="Yes"/>
    <s v="Climate &amp; Health"/>
    <x v="0"/>
    <x v="8"/>
    <x v="0"/>
    <x v="2"/>
    <s v="30/11/2022"/>
    <n v="1831633.5"/>
    <n v="1831633.5"/>
    <n v="1831633.5"/>
    <s v="https://wellcometrust.lightning.force.com/lightning/r/Funding_Record__c/a2QQ5000000GEVYMA4/view"/>
    <s v="FY 22/23"/>
  </r>
  <r>
    <s v="227165/Z/23/Z"/>
    <x v="0"/>
    <s v="Pathfinder 2: accelerating climate action for health"/>
    <s v="London School of Hygiene &amp; Tropical Medicine"/>
    <s v="United Kingdom"/>
    <s v="UK"/>
    <s v="Yes"/>
    <s v="Climate &amp; Health"/>
    <x v="0"/>
    <x v="6"/>
    <x v="0"/>
    <x v="2"/>
    <s v="30/09/2023"/>
    <n v="3568090"/>
    <n v="3568090"/>
    <n v="3568090"/>
    <s v="https://wellcometrust.lightning.force.com/lightning/r/Funding_Record__c/a2QQ5000000GEbGMAW/view"/>
    <s v="FY 22/23"/>
  </r>
  <r>
    <s v="227174/Z/23/Z"/>
    <x v="0"/>
    <s v="Extreme heat and pregnancy complications: harnessing the diverse Australian climate and population for global answers"/>
    <s v="University of Western Australia"/>
    <s v="Australia"/>
    <s v="HIC"/>
    <s v="Yes"/>
    <s v="Climate &amp; Health"/>
    <x v="2"/>
    <x v="9"/>
    <x v="0"/>
    <x v="2"/>
    <s v="01/02/2023"/>
    <n v="1914745.15"/>
    <n v="1914745.15"/>
    <n v="1914745.15"/>
    <s v="https://wellcometrust.lightning.force.com/lightning/r/Funding_Record__c/a2QQ5000000GHzFMAW/view"/>
    <s v="FY 22/23"/>
  </r>
  <r>
    <s v="227176/Z/23/Z"/>
    <x v="0"/>
    <s v="Evaluating pathophysiological mechanisms of acute and chronic heat stress on maternal and fetal health"/>
    <s v="London School of Hygiene &amp; Tropical Medicine"/>
    <s v="United Kingdom"/>
    <s v="UK"/>
    <s v="Yes"/>
    <s v="Climate &amp; Health"/>
    <x v="2"/>
    <x v="9"/>
    <x v="0"/>
    <x v="2"/>
    <s v="01/02/2023"/>
    <n v="2049397"/>
    <n v="2049397"/>
    <n v="2049397"/>
    <s v="https://wellcometrust.lightning.force.com/lightning/r/Funding_Record__c/a2QQ5000000GJc4MAG/view"/>
    <s v="FY 22/23"/>
  </r>
  <r>
    <s v="227178/Z/23/Z"/>
    <x v="0"/>
    <s v="Mitigating against life-course complications of heat stress."/>
    <s v="University of Leeds"/>
    <s v="United Kingdom"/>
    <s v="UK"/>
    <s v="Yes"/>
    <s v="Climate &amp; Health"/>
    <x v="2"/>
    <x v="9"/>
    <x v="0"/>
    <x v="2"/>
    <s v="01/02/2023"/>
    <n v="2056943"/>
    <n v="2056943"/>
    <n v="2056943"/>
    <s v="https://wellcometrust.lightning.force.com/lightning/r/Funding_Record__c/a2QQ5000000G8l6MAC/view"/>
    <s v="FY 22/23"/>
  </r>
  <r>
    <s v="227179/Z/23/Z"/>
    <x v="0"/>
    <s v="Impact of extreme heat events on risk and mitigation of neural tube defects"/>
    <s v="University College London"/>
    <s v="United Kingdom"/>
    <s v="UK"/>
    <s v="Yes"/>
    <s v="Climate &amp; Health"/>
    <x v="2"/>
    <x v="9"/>
    <x v="0"/>
    <x v="2"/>
    <s v="01/02/2023"/>
    <n v="815737"/>
    <n v="815737"/>
    <n v="815737"/>
    <s v="https://wellcometrust.lightning.force.com/lightning/r/Funding_Record__c/a2QQ5000000G9QyMAK/view"/>
    <s v="FY 22/23"/>
  </r>
  <r>
    <s v="227188/Z/23/Z"/>
    <x v="0"/>
    <s v="The HEaT INFORM Pregnancy Study"/>
    <s v="University of Sydney"/>
    <s v="Australia"/>
    <s v="HIC"/>
    <s v="Yes"/>
    <s v="Climate &amp; Health"/>
    <x v="2"/>
    <x v="9"/>
    <x v="0"/>
    <x v="2"/>
    <s v="01/02/2023"/>
    <n v="2050809"/>
    <n v="2050809"/>
    <n v="2050809"/>
    <s v="https://wellcometrust.lightning.force.com/lightning/r/Funding_Record__c/a2QQ5000000GK16MAG/view"/>
    <s v="FY 22/23"/>
  </r>
  <r>
    <s v="227190/Z/23/Z"/>
    <x v="0"/>
    <s v="Assessment of biological vulnerability and effects of extreme heat on maternal, fetal and newborn health: implications for policy and action"/>
    <s v="The Aga Khan University, Pakistan"/>
    <s v="Pakistan"/>
    <s v="LMIC"/>
    <s v="Yes"/>
    <s v="Climate &amp; Health"/>
    <x v="2"/>
    <x v="9"/>
    <x v="0"/>
    <x v="2"/>
    <s v="01/02/2023"/>
    <n v="1946070"/>
    <n v="1946070"/>
    <n v="1946070"/>
    <s v="https://wellcometrust.lightning.force.com/lightning/r/Funding_Record__c/a2QQ5000000GJY7MAO/view"/>
    <s v="FY 22/23"/>
  </r>
  <r>
    <s v="227191/A/23/Z"/>
    <x v="0"/>
    <s v="Effects of extreme heat on maternal, placental and fetal physiology, lactation and newborn health in India"/>
    <s v="Translational Health Science and Technology Institute"/>
    <s v="India"/>
    <s v="LMIC"/>
    <s v="Yes"/>
    <s v="Climate &amp; Health"/>
    <x v="2"/>
    <x v="9"/>
    <x v="0"/>
    <x v="2"/>
    <s v="01/02/2023"/>
    <n v="1833066.53"/>
    <n v="1483813.4"/>
    <n v="1483813.4"/>
    <s v="https://wellcometrust.lightning.force.com/lightning/r/Funding_Record__c/a2QQ5000000GY6lMAG/view"/>
    <s v="FY 22/23"/>
  </r>
  <r>
    <s v="227191/Z/23/Z"/>
    <x v="0"/>
    <s v="Effects of extreme heat on maternal, placental and fetal physiology, lactation and newborn health in India"/>
    <s v="Imperial College London"/>
    <s v="United Kingdom"/>
    <s v="UK"/>
    <s v="Yes"/>
    <s v="Climate &amp; Health"/>
    <x v="2"/>
    <x v="9"/>
    <x v="0"/>
    <x v="2"/>
    <s v="01/02/2023"/>
    <n v="319301"/>
    <n v="319301"/>
    <n v="319301"/>
    <s v="https://wellcometrust.lightning.force.com/lightning/r/Funding_Record__c/a2QQ5000000GPvDMAW/view"/>
    <s v="FY 22/23"/>
  </r>
  <r>
    <s v="227199/Z/23/Z"/>
    <x v="0"/>
    <s v="Extreme heat and preterm birth in rural Zimbabwe"/>
    <s v="Queen Mary University of London"/>
    <s v="United Kingdom"/>
    <s v="UK"/>
    <s v="Yes"/>
    <s v="Climate &amp; Health"/>
    <x v="2"/>
    <x v="9"/>
    <x v="0"/>
    <x v="2"/>
    <s v="01/02/2023"/>
    <n v="1970587.29"/>
    <n v="1970587.29"/>
    <n v="1970587.29"/>
    <s v="https://wellcometrust.lightning.force.com/lightning/r/Funding_Record__c/a2QQ5000000GQaHMAW/view"/>
    <s v="FY 22/23"/>
  </r>
  <r>
    <s v="227204/Z/23/Z"/>
    <x v="0"/>
    <s v="Investigating the Biological pathways from HEAT exposure to preterm birth and other adverse maternal and child health outcomes in South Africa (the Bio-HEAT study)"/>
    <s v="Wits Health Consortium (Pty) Ltd"/>
    <s v="South Africa"/>
    <s v="LMIC"/>
    <s v="Yes"/>
    <s v="Climate &amp; Health"/>
    <x v="2"/>
    <x v="9"/>
    <x v="0"/>
    <x v="3"/>
    <s v="01/02/2023"/>
    <n v="2060000"/>
    <n v="2060000"/>
    <n v="2060000"/>
    <s v="https://wellcometrust.lightning.force.com/lightning/r/Funding_Record__c/a2QQ5000000GEYcMAO/view"/>
    <s v="FY 22/23"/>
  </r>
  <r>
    <s v="227749/Z/23/Z"/>
    <x v="0"/>
    <s v="Sustainable and Healthy Food Systems - Southern Africa (SHEFS-SA)"/>
    <s v="University of Kwazulu Natal"/>
    <s v="South Africa"/>
    <s v="LMIC"/>
    <s v="Yes"/>
    <s v="Climate &amp; Health"/>
    <x v="4"/>
    <x v="10"/>
    <x v="0"/>
    <x v="2"/>
    <s v="30/06/2023"/>
    <n v="6369109.2400000002"/>
    <n v="6369109.2400000002"/>
    <n v="6369109.2400000002"/>
    <s v="https://wellcometrust.lightning.force.com/lightning/r/Funding_Record__c/a2QQ5000000GMpqMAG/view"/>
    <s v="FY 22/23"/>
  </r>
  <r>
    <s v="227779/Z/23/Z"/>
    <x v="0"/>
    <s v="Climate Change Resilient Equitable Healthy Cities in Africa (CLARITY-Africa)"/>
    <s v="Imperial College London"/>
    <s v="United Kingdom"/>
    <s v="UK"/>
    <s v="Yes"/>
    <s v="Climate &amp; Health"/>
    <x v="1"/>
    <x v="10"/>
    <x v="0"/>
    <x v="2"/>
    <s v="30/06/2023"/>
    <n v="6369460"/>
    <n v="6369460"/>
    <n v="6369460"/>
    <s v="https://wellcometrust.lightning.force.com/lightning/r/Funding_Record__c/a2QQ5000000GVmmMAG/view"/>
    <s v="FY 22/23"/>
  </r>
  <r>
    <s v="227810/Z/23/Z"/>
    <x v="0"/>
    <s v="Climate change and urban health in Latin America"/>
    <s v="Drexel University"/>
    <s v="United States"/>
    <s v="HIC"/>
    <s v="Yes"/>
    <s v="Climate &amp; Health"/>
    <x v="3"/>
    <x v="10"/>
    <x v="0"/>
    <x v="2"/>
    <s v="30/06/2023"/>
    <n v="6055978.7000000002"/>
    <n v="6055978.7000000002"/>
    <n v="6055978.7000000002"/>
    <s v="https://wellcometrust.lightning.force.com/lightning/r/Funding_Record__c/a2QQ5000000GD3FMAW/view"/>
    <s v="FY 22/23"/>
  </r>
  <r>
    <s v="227968/Z/23/Z"/>
    <x v="0"/>
    <s v="Oppressive Heat: Heat Stress, Debt Bondage and British Overseas Investment in Cambodian Construction"/>
    <s v="Royal Holloway, University of London"/>
    <s v="United Kingdom"/>
    <s v="UK"/>
    <s v="Yes"/>
    <s v="Climate &amp; Health"/>
    <x v="2"/>
    <x v="11"/>
    <x v="0"/>
    <x v="2"/>
    <s v="12/07/2023"/>
    <n v="486704"/>
    <n v="486704"/>
    <n v="486704"/>
    <s v="https://wellcometrust.lightning.force.com/lightning/r/Funding_Record__c/a2QQ5000000GCnGMAW/view"/>
    <s v="FY 22/23"/>
  </r>
  <r>
    <s v="227978/Z/23/Z"/>
    <x v="0"/>
    <s v="Urban Inequality and Spatial Distribution of Heat Mortality in Brazilian Cities"/>
    <s v="World Resources Institute"/>
    <s v="United Kingdom"/>
    <s v="UK"/>
    <s v="Yes"/>
    <s v="Climate &amp; Health"/>
    <x v="2"/>
    <x v="11"/>
    <x v="0"/>
    <x v="2"/>
    <s v="12/07/2023"/>
    <n v="1692430.9"/>
    <n v="1692430.9"/>
    <n v="1692430.9"/>
    <s v="https://wellcometrust.lightning.force.com/lightning/r/Funding_Record__c/a2QQ5000000G8kcMAC/view"/>
    <s v="FY 22/23"/>
  </r>
  <r>
    <s v="227993/Z/23/Z"/>
    <x v="0"/>
    <s v="The health impacts of climate change on precarious outdoor workers in urban megacities in Vietnam"/>
    <s v="National Centre for Social Research"/>
    <s v="United Kingdom"/>
    <s v="UK"/>
    <s v="Yes"/>
    <s v="Climate &amp; Health"/>
    <x v="2"/>
    <x v="11"/>
    <x v="0"/>
    <x v="2"/>
    <s v="12/07/2023"/>
    <n v="1285890"/>
    <n v="1285890"/>
    <n v="1285890"/>
    <s v="https://wellcometrust.lightning.force.com/lightning/r/Funding_Record__c/a2QQ5000000GIGtMAO/view"/>
    <s v="FY 22/23"/>
  </r>
  <r>
    <s v="228005/Z/23/Z"/>
    <x v="0"/>
    <s v="Spatialising Climate Impacts on Health:  A Focus on Vulnerable Settlements in Megacities of the Global South"/>
    <s v="Indian Institute for Human Settlements"/>
    <s v="India"/>
    <s v="LMIC"/>
    <s v="Yes"/>
    <s v="Climate &amp; Health"/>
    <x v="2"/>
    <x v="11"/>
    <x v="0"/>
    <x v="2"/>
    <s v="12/07/2023"/>
    <n v="767765"/>
    <n v="767765"/>
    <n v="767765"/>
    <s v="https://wellcometrust.lightning.force.com/lightning/r/Funding_Record__c/a2QQ5000000GZiBMAW/view"/>
    <s v="FY 22/23"/>
  </r>
  <r>
    <s v="228009/Z/23/Z"/>
    <x v="0"/>
    <s v="Maternal And preGnancy hEalth aNd elevaTed heAt (MAGENTA): novel data-linkages to understand how temperature impacts pregnancy outcomes for people living in deprived communities in Wales and London"/>
    <s v="Swansea University"/>
    <s v="United Kingdom"/>
    <s v="UK"/>
    <s v="Yes"/>
    <s v="Climate &amp; Health"/>
    <x v="2"/>
    <x v="11"/>
    <x v="0"/>
    <x v="2"/>
    <s v="12/07/2023"/>
    <n v="2202473"/>
    <n v="2202473"/>
    <n v="2202473"/>
    <s v="https://wellcometrust.lightning.force.com/lightning/r/Funding_Record__c/a2QQ5000000GH9XMAW/view"/>
    <s v="FY 22/23"/>
  </r>
  <r>
    <s v="228025/Z/23/Z"/>
    <x v="0"/>
    <s v="The impact of extreme weather events on the mental health of vulnerable populations in Africa (WEMA project)"/>
    <s v="Africa Health Research Institute"/>
    <s v="South Africa"/>
    <s v="LMIC"/>
    <s v="Yes"/>
    <s v="Climate &amp; Health"/>
    <x v="2"/>
    <x v="11"/>
    <x v="0"/>
    <x v="2"/>
    <s v="12/07/2023"/>
    <n v="2488222.7599999998"/>
    <n v="2488222.7599999998"/>
    <n v="2488222.7599999998"/>
    <s v="https://wellcometrust.lightning.force.com/lightning/r/Funding_Record__c/a2QQ5000000GU8jMAG/view"/>
    <s v="FY 22/23"/>
  </r>
  <r>
    <s v="228033/Z/23/Z"/>
    <x v="0"/>
    <s v="The effects of extreme heat events on mental health in vulnerable urban communities: towards evidence-based policy and practice"/>
    <s v="King's College London"/>
    <s v="United Kingdom"/>
    <s v="UK"/>
    <s v="Yes"/>
    <s v="Climate &amp; Health"/>
    <x v="2"/>
    <x v="11"/>
    <x v="0"/>
    <x v="2"/>
    <s v="12/07/2023"/>
    <n v="1680130"/>
    <n v="1680130"/>
    <n v="1680130"/>
    <s v="https://wellcometrust.lightning.force.com/lightning/r/Funding_Record__c/a2QQ5000000GMrzMAG/view"/>
    <s v="FY 22/23"/>
  </r>
  <r>
    <s v="228038/Z/23/Z"/>
    <x v="0"/>
    <s v="Effects of Polar Climate Change on Global Health and Healthcare"/>
    <s v="University of Exeter"/>
    <s v="United Kingdom"/>
    <s v="UK"/>
    <s v="Yes"/>
    <s v="Climate &amp; Health"/>
    <x v="2"/>
    <x v="11"/>
    <x v="0"/>
    <x v="2"/>
    <s v="12/07/2023"/>
    <n v="2285048.7000000002"/>
    <n v="2285048.7000000002"/>
    <n v="2285048.7000000002"/>
    <s v="https://wellcometrust.lightning.force.com/lightning/r/Funding_Record__c/a2QQ5000000GCIyMAO/view"/>
    <s v="FY 22/23"/>
  </r>
  <r>
    <s v="228050/Z/23/Z"/>
    <x v="0"/>
    <s v="Climate Change and Child Malnutrition in Zimbabwe: Evidence to Action"/>
    <s v="Zvitambo Institute for Maternal and Child Health Research"/>
    <s v="Zimbabwe"/>
    <s v="LMIC"/>
    <s v="Yes"/>
    <s v="Climate &amp; Health"/>
    <x v="2"/>
    <x v="11"/>
    <x v="0"/>
    <x v="2"/>
    <s v="12/07/2023"/>
    <n v="2559193.77"/>
    <n v="2559193.77"/>
    <n v="2559193.77"/>
    <s v="https://wellcometrust.lightning.force.com/lightning/r/Funding_Record__c/a2QQ5000000GIDSMA4/view"/>
    <s v="FY 22/23"/>
  </r>
  <r>
    <s v="228057/Z/23/Z"/>
    <x v="0"/>
    <s v="Building a climate cohort to monitor health impacts of climate change in Ghana"/>
    <s v="Kintampo Health Research Centre"/>
    <s v="Ghana"/>
    <s v="LMIC"/>
    <s v="Yes"/>
    <s v="Climate &amp; Health"/>
    <x v="2"/>
    <x v="11"/>
    <x v="0"/>
    <x v="3"/>
    <s v="12/07/2023"/>
    <n v="2545611.52"/>
    <n v="2545611.52"/>
    <n v="2545611.52"/>
    <s v="https://wellcometrust.lightning.force.com/lightning/r/Funding_Record__c/a2QQ5000000GMdHMAW/view"/>
    <s v="FY 22/23"/>
  </r>
  <r>
    <s v="228064/Z/23/Z"/>
    <x v="0"/>
    <s v="Visibilizing climate change impacts on nutrition and mental health among vulnerable populations in East African drylands to catalyse climate action at scale (Visibilize4ClimateAction in East Africa Project)"/>
    <s v="African Population &amp; Health Research Centre, Kenya"/>
    <s v="Kenya"/>
    <s v="LMIC"/>
    <s v="Yes"/>
    <s v="Climate &amp; Health"/>
    <x v="2"/>
    <x v="11"/>
    <x v="0"/>
    <x v="3"/>
    <s v="12/07/2023"/>
    <n v="2552499.09"/>
    <n v="2552499.09"/>
    <n v="2552499.09"/>
    <s v="https://wellcometrust.lightning.force.com/lightning/r/Funding_Record__c/a2QQ5000000GV0cMAG/view"/>
    <s v="FY 22/23"/>
  </r>
  <r>
    <s v="228211/Z/23/Z"/>
    <x v="0"/>
    <s v="Grand Challenge on Climate Change and Health - Africa"/>
    <s v="Science for Africa Foundation (SFA)"/>
    <s v="Kenya"/>
    <s v="LMIC"/>
    <s v="Yes"/>
    <s v="Climate &amp; Health"/>
    <x v="2"/>
    <x v="6"/>
    <x v="0"/>
    <x v="2"/>
    <s v="30/09/2023"/>
    <n v="1066364.5900000001"/>
    <n v="1066364.5900000001"/>
    <n v="1066364.5900000001"/>
    <s v="https://wellcometrust.lightning.force.com/lightning/r/Funding_Record__c/a2QQ5000000GNjqMAG/view"/>
    <s v="FY 22/23"/>
  </r>
  <r>
    <s v="228212/Z/23/Z"/>
    <x v="0"/>
    <s v="Presentation on Indigenous Peoples at Climate Health 2023"/>
    <s v="Sustain Our Abilities"/>
    <s v="United States"/>
    <s v="HIC"/>
    <s v="Yes"/>
    <s v="Climate &amp; Health"/>
    <x v="3"/>
    <x v="6"/>
    <x v="0"/>
    <x v="1"/>
    <s v="30/09/2023"/>
    <n v="6685.81"/>
    <n v="6685.81"/>
    <n v="6685.81"/>
    <s v="https://wellcometrust.lightning.force.com/lightning/r/Funding_Record__c/a2QQ5000000GQCYMA4/view"/>
    <s v="FY 22/23"/>
  </r>
  <r>
    <s v="228248/Z/23/Z"/>
    <x v="0"/>
    <s v="Bringing climate health impact research to global decision-makers and the public via interactive simulators"/>
    <s v="New Venture Fund"/>
    <s v="United States"/>
    <s v="HIC"/>
    <s v="Yes"/>
    <s v="Climate &amp; Health"/>
    <x v="2"/>
    <x v="6"/>
    <x v="0"/>
    <x v="2"/>
    <s v="30/09/2023"/>
    <n v="562312.35"/>
    <n v="562312.35"/>
    <n v="562312.35"/>
    <s v="https://wellcometrust.lightning.force.com/lightning/r/Funding_Record__c/a2QQ5000000GTsTMAW/view"/>
    <s v="FY 22/23"/>
  </r>
  <r>
    <s v="228253/Z/23/Z"/>
    <x v="0"/>
    <s v="FILE Funding Proposal - A Transformative Global Initiative to Accelerate Climate Accountability, Action &amp; Justice"/>
    <s v="Stichting Foundation for International Law for the Environment"/>
    <s v="Netherlands"/>
    <s v="HIC"/>
    <s v="Yes"/>
    <s v="Climate &amp; Health"/>
    <x v="2"/>
    <x v="6"/>
    <x v="0"/>
    <x v="2"/>
    <s v="30/09/2023"/>
    <n v="3500000"/>
    <n v="3500000"/>
    <n v="3500000"/>
    <s v="https://wellcometrust.lightning.force.com/lightning/r/Funding_Record__c/a2QQ5000000GNPMMA4/view"/>
    <s v="FY 22/23"/>
  </r>
  <r>
    <s v="228257/Z/23/Z"/>
    <x v="0"/>
    <s v="Transitioning from Vulnerable to Vibrant: Building a Disaster Response Framework that Addresses Climate-Health Threats to Communities"/>
    <s v="Environmental Defense Fund"/>
    <s v="United States"/>
    <s v="HIC"/>
    <s v="Yes"/>
    <s v="Climate &amp; Health"/>
    <x v="2"/>
    <x v="6"/>
    <x v="0"/>
    <x v="2"/>
    <s v="30/09/2023"/>
    <n v="2597234.7400000002"/>
    <n v="2597234.7400000002"/>
    <n v="2597234.7400000002"/>
    <s v="https://wellcometrust.lightning.force.com/lightning/r/Funding_Record__c/a2QQ5000000GDIGMA4/view"/>
    <s v="FY 22/23"/>
  </r>
  <r>
    <s v="228259/Z/23/Z"/>
    <x v="0"/>
    <s v="Putting evidence into policy to address health impacts of ENSO"/>
    <s v="World Health Organization, Switzerland"/>
    <s v="Switzerland"/>
    <s v="HIC"/>
    <s v="Yes"/>
    <s v="Climate &amp; Health"/>
    <x v="2"/>
    <x v="6"/>
    <x v="0"/>
    <x v="2"/>
    <s v="30/09/2023"/>
    <n v="307470.31"/>
    <n v="307470.31"/>
    <n v="307470.31"/>
    <s v="https://wellcometrust.lightning.force.com/lightning/r/Funding_Record__c/a2QQ5000000GUMyMAO/view"/>
    <s v="FY 22/23"/>
  </r>
  <r>
    <s v="304031/Z/23/Z"/>
    <x v="0"/>
    <s v="Cultural programming that puts health at the heart of climate action"/>
    <s v="The Graduate Center, City University of New York"/>
    <s v="United States"/>
    <s v="HIC"/>
    <s v="Yes"/>
    <s v="Climate &amp; Health"/>
    <x v="2"/>
    <x v="6"/>
    <x v="0"/>
    <x v="2"/>
    <s v="30/09/2024"/>
    <n v="95580.39"/>
    <n v="95580.39"/>
    <n v="95580.39"/>
    <s v="https://wellcometrust.lightning.force.com/lightning/r/Funding_Record__c/a2Q8d00000OCJ5pEAH/view"/>
    <s v="FY 23/24"/>
  </r>
  <r>
    <s v="304972/Z/23/Z"/>
    <x v="0"/>
    <s v="The Lancet Countdown: Tracking Progress on Health and Climate Change"/>
    <s v="University College London"/>
    <s v="United Kingdom"/>
    <s v="UK"/>
    <s v="Yes"/>
    <s v="Climate &amp; Health"/>
    <x v="2"/>
    <x v="6"/>
    <x v="0"/>
    <x v="4"/>
    <s v="30/09/2024"/>
    <n v="21000026"/>
    <n v="21000026"/>
    <n v="21000026"/>
    <s v="https://wellcometrust.lightning.force.com/lightning/r/Funding_Record__c/a2Q8d00000RxZ28EAF/view"/>
    <s v="FY 23/24"/>
  </r>
  <r>
    <s v="306679/Z/23/Z"/>
    <x v="0"/>
    <s v="Promoting Ethically Sound and Equitable Climate and Health Research"/>
    <s v="World Health Organization, Switzerland"/>
    <s v="Switzerland"/>
    <s v="HIC"/>
    <s v="Yes"/>
    <s v="Climate &amp; Health"/>
    <x v="2"/>
    <x v="6"/>
    <x v="0"/>
    <x v="2"/>
    <s v="04/09/2023"/>
    <n v="1908694.7"/>
    <n v="1908694.7"/>
    <n v="1908694.7"/>
    <s v="https://wellcometrust.lightning.force.com/lightning/r/Funding_Record__c/a2QQ5000000MK05MAG/view"/>
    <s v="FY 23/24"/>
  </r>
  <r>
    <s v="309521/Z/24/Z"/>
    <x v="0"/>
    <s v="Effects of extreme heat on maternal, placental and fetal physiology, lactation and newborn health in India"/>
    <s v="George Institute for Global Health (India)"/>
    <s v="India"/>
    <s v="LMIC"/>
    <s v="Yes"/>
    <s v="Climate &amp; Health"/>
    <x v="2"/>
    <x v="12"/>
    <x v="0"/>
    <x v="2"/>
    <s v="01/02/2023"/>
    <n v="0"/>
    <n v="349253.13"/>
    <n v="349253.13"/>
    <s v="https://wellcometrust.lightning.force.com/lightning/r/Funding_Record__c/a2QQ50000017857MAA/view"/>
    <s v="FY 22/23"/>
  </r>
  <r>
    <s v="309772/Z/24/Z"/>
    <x v="0"/>
    <s v="Assessing the effectiveness of Heat Adaptation &amp; Heat Reduction Interventions for vulnerable population in urban and rural settings of a low- and middle- income country"/>
    <s v="London School of Hygiene &amp; Tropical Medicine"/>
    <s v="United Kingdom"/>
    <s v="UK"/>
    <s v="Yes"/>
    <s v="Climate &amp; Health"/>
    <x v="1"/>
    <x v="7"/>
    <x v="0"/>
    <x v="2"/>
    <s v="29/11/2022"/>
    <n v="0"/>
    <n v="295111"/>
    <n v="295111"/>
    <s v="https://wellcometrust.lightning.force.com/lightning/r/Funding_Record__c/a2QQ5000001BF9dMAG/view"/>
    <s v="FY 22/23"/>
  </r>
  <r>
    <s v="309840/Z/24/Z"/>
    <x v="0"/>
    <s v="Urban Inequality and Spatial Distribution of Heat Mortality in Brazilian Cities"/>
    <s v="Drexel University"/>
    <s v="United States"/>
    <s v="HIC"/>
    <s v="Yes"/>
    <s v="Climate &amp; Health"/>
    <x v="2"/>
    <x v="11"/>
    <x v="0"/>
    <x v="2"/>
    <s v="12/07/2023"/>
    <n v="755915.2"/>
    <n v="755915.2"/>
    <n v="755915.2"/>
    <s v="https://wellcometrust.lightning.force.com/lightning/r/Funding_Record__c/a2QQ5000001CEBWMA4/view"/>
    <s v="FY 22/23"/>
  </r>
  <r>
    <s v="310307/Z/24/Z"/>
    <x v="0"/>
    <s v="Spatialising Climate Impacts on Health: A Focus on Vulnerable Settlements in Megacities of the Global South"/>
    <s v="International Institute for Environment and Development"/>
    <s v="United Kingdom"/>
    <s v="UK"/>
    <s v="Yes"/>
    <s v="Climate &amp; Health"/>
    <x v="2"/>
    <x v="11"/>
    <x v="0"/>
    <x v="2"/>
    <s v="12/07/2023"/>
    <n v="1285746"/>
    <n v="1285746"/>
    <n v="1285746"/>
    <s v="https://wellcometrust.lightning.force.com/lightning/r/Funding_Record__c/a2QQ5000001ISA9MAO/view"/>
    <s v="FY 22/23"/>
  </r>
  <r>
    <s v="310549/Z/24/Z"/>
    <x v="0"/>
    <s v="Climate and Health Africa Conference 2024 (CHAC 2024)"/>
    <s v="Centre for Sexual Health and HIV AIDS Research Zimbabwe"/>
    <s v="Zimbabwe"/>
    <s v="LMIC"/>
    <s v="Yes"/>
    <s v="Climate &amp; Health"/>
    <x v="3"/>
    <x v="6"/>
    <x v="0"/>
    <x v="3"/>
    <s v="30/09/2024"/>
    <n v="194557"/>
    <n v="194557"/>
    <n v="194557"/>
    <s v="https://wellcometrust.lightning.force.com/lightning/r/Funding_Record__c/a2QQ5000001LVeXMAW/view"/>
    <s v="FY 23/24"/>
  </r>
  <r>
    <s v="310797/Z/24/Z"/>
    <x v="0"/>
    <s v="Climate Attribution of Wildfire Smoke Impacts on Priority Population Health in Southeast Asia and Australia (CANBREATHE)"/>
    <s v="University of Canberra"/>
    <s v="Climate &amp; Health"/>
    <s v="Climate Impacts Award"/>
    <s v="Climate Impacts Award - 2023/24"/>
    <s v="Approved"/>
    <x v="5"/>
    <x v="13"/>
    <x v="0"/>
    <x v="4"/>
    <d v="2024-07-31T00:00:00"/>
    <n v="2651067.2000000002"/>
    <n v="2651067.2000000002"/>
    <n v="2651067.2000000002"/>
    <m/>
    <s v="FY 23/24"/>
  </r>
  <r>
    <s v="311351/Z/24/Z"/>
    <x v="0"/>
    <s v="Child Heat Impact-Climate Health Intervention (CHI2): The invisible impact of heat on childhood respiratory health and interventions to ensure optimal child health in Sub-Saharan Africa"/>
    <s v="University of Kwazulu Natal"/>
    <s v="Climate &amp; Health"/>
    <s v="Climate Impacts Award"/>
    <s v="Climate Impacts Award - 2023/24"/>
    <s v="Approved"/>
    <x v="5"/>
    <x v="13"/>
    <x v="0"/>
    <x v="4"/>
    <d v="2024-07-31T00:00:00"/>
    <n v="2549696"/>
    <n v="2549696"/>
    <n v="2549696"/>
    <m/>
    <s v="FY 23/24"/>
  </r>
  <r>
    <s v="311494/Z/24/Z"/>
    <x v="0"/>
    <s v="Community Climate Health Amongst Livestock Keepers in Kyrgyzstan (CCHALKK)"/>
    <s v="Nossal Institute Limited"/>
    <s v="Climate &amp; Health"/>
    <s v="Climate Impacts Award"/>
    <s v="Climate Impacts Award - 2023/24"/>
    <s v="Approved"/>
    <x v="5"/>
    <x v="13"/>
    <x v="0"/>
    <x v="4"/>
    <d v="2024-08-01T00:00:00"/>
    <n v="2614401.42"/>
    <n v="2614401.42"/>
    <n v="2614401.42"/>
    <m/>
    <s v="FY 23/24"/>
  </r>
  <r>
    <s v="311673/Z/24/Z"/>
    <x v="0"/>
    <s v="SA-CARES - South Africa - Climate Air-emissions and Respiratory Health Early Sensing project"/>
    <s v="University of Cape Town Lung Institute"/>
    <s v="Climate &amp; Health"/>
    <s v="Climate Impacts Award"/>
    <s v="Climate Impacts Award - 2023/24"/>
    <s v="Approved"/>
    <x v="5"/>
    <x v="13"/>
    <x v="0"/>
    <x v="4"/>
    <d v="2024-08-02T00:00:00"/>
    <n v="2541258"/>
    <n v="2541258"/>
    <n v="2541258"/>
    <m/>
    <s v="FY 23/24"/>
  </r>
  <r>
    <s v="311682/Z/24/Z"/>
    <x v="0"/>
    <s v="Catalysing climate change action research for maternal and perinatal health in West Africa: towards evidence-based policy and practice (The CHARTer Project in West Africa)"/>
    <s v="African Population &amp; Health Research Centre, Kenya"/>
    <s v="Climate &amp; Health"/>
    <s v="Climate Impacts Award"/>
    <s v="Climate Impacts Award - 2023/24"/>
    <s v="Approved"/>
    <x v="5"/>
    <x v="13"/>
    <x v="0"/>
    <x v="4"/>
    <d v="2024-08-03T00:00:00"/>
    <n v="2069526"/>
    <n v="2069526"/>
    <n v="2069526"/>
    <m/>
    <s v="FY 23/24"/>
  </r>
  <r>
    <s v="311743/Z/24/Z"/>
    <x v="0"/>
    <s v="The heat health burden on First Nations communities in under-resourced remote Australia"/>
    <s v="Menzies School of Health Research"/>
    <s v="Climate &amp; Health"/>
    <s v="Climate Impacts Award"/>
    <s v="Climate Impacts Award - 2023/24"/>
    <s v="Approved"/>
    <x v="5"/>
    <x v="13"/>
    <x v="0"/>
    <x v="4"/>
    <d v="2024-08-04T00:00:00"/>
    <n v="2205511.41"/>
    <n v="2205511.41"/>
    <n v="2205511.41"/>
    <m/>
    <s v="FY 23/24"/>
  </r>
  <r>
    <s v="311886/Z/24/Z"/>
    <x v="0"/>
    <s v="Making extreme weather health impacts visible through household energy, climate, and sustainability policies in frontline communities"/>
    <s v="Trustees of Boston University"/>
    <s v="Climate &amp; Health"/>
    <s v="Climate Impacts Award"/>
    <s v="Climate Impacts Award - 2023/24"/>
    <s v="Approved"/>
    <x v="5"/>
    <x v="13"/>
    <x v="0"/>
    <x v="4"/>
    <d v="2024-08-05T00:00:00"/>
    <n v="2535952.85"/>
    <n v="2535952.85"/>
    <n v="2535952.85"/>
    <m/>
    <s v="FY 23/24"/>
  </r>
  <r>
    <s v="312068/Z/24/Z"/>
    <x v="0"/>
    <s v="PAVE – Health: Pacific Action to enhance the Visibility of Evidence on Health and Climate Impacts"/>
    <s v="University of Melbourne"/>
    <s v="Climate &amp; Health"/>
    <s v="Climate Impacts Award"/>
    <s v="Climate Impacts Award - 2023/24"/>
    <s v="Approved"/>
    <x v="5"/>
    <x v="13"/>
    <x v="0"/>
    <x v="4"/>
    <d v="2024-08-06T00:00:00"/>
    <n v="2588699.81"/>
    <n v="2588699.81"/>
    <n v="2588699.81"/>
    <m/>
    <s v="FY 23/24"/>
  </r>
  <r>
    <s v="312404/Z/24/Z"/>
    <x v="0"/>
    <s v="Heatwaves and the health of the elderly in cities of Argentina: new evidence for policy development"/>
    <s v="Center for the Implementation of Public Policies Promoting Equity and Growth"/>
    <s v="Climate &amp; Health"/>
    <s v="Climate Impacts Award"/>
    <s v="Climate Impacts Award - 2023/24"/>
    <s v="Approved"/>
    <x v="5"/>
    <x v="13"/>
    <x v="0"/>
    <x v="4"/>
    <d v="2024-08-07T00:00:00"/>
    <n v="228508.82"/>
    <n v="228508.82"/>
    <n v="228508.82"/>
    <m/>
    <s v="FY 23/24"/>
  </r>
  <r>
    <s v="313527/Z/24/Z"/>
    <x v="0"/>
    <s v="Policy relevant future scenarios of population health and health systems"/>
    <s v="University of Washington"/>
    <s v="Climate &amp; Health"/>
    <s v="Discretionary Award"/>
    <s v="Discretionary Award – Climate &amp; Health - IAMS"/>
    <s v="Approved"/>
    <x v="5"/>
    <x v="6"/>
    <x v="0"/>
    <x v="4"/>
    <d v="2024-09-30T00:00:00"/>
    <n v="4796509.53"/>
    <n v="4796509.53"/>
    <n v="4796509.53"/>
    <m/>
    <s v="FY 23/24"/>
  </r>
  <r>
    <s v="313586/Z/24/Z"/>
    <x v="0"/>
    <s v="Digital Evidence Synthesis Tool Innovation Yielding Improvements in Climate &amp; Health (DESTinY)"/>
    <s v="Potsdam Institute for Climate Impact Research"/>
    <s v="Climate &amp; Health"/>
    <s v="Advancing Evidence Synthesis for Climate and Health"/>
    <s v="Directed Call – DSH - Evidence Synthesis"/>
    <s v="Approved"/>
    <x v="5"/>
    <x v="14"/>
    <x v="0"/>
    <x v="4"/>
    <d v="2024-07-30T00:00:00"/>
    <n v="9788711.0399999991"/>
    <n v="9788711.0399999991"/>
    <n v="9788711.0399999991"/>
    <m/>
    <s v="FY 23/24"/>
  </r>
  <r>
    <s v="313618/Z/24/Z"/>
    <x v="0"/>
    <s v="SOLACE-AI: Synthesis of Online Literature for Adaptation to Climate-Change Emergencies"/>
    <s v="King's College London"/>
    <s v="Climate &amp; Health"/>
    <s v="Advancing Evidence Synthesis for Climate and Health"/>
    <s v="Directed Call – DSH - Evidence Synthesis"/>
    <s v="Approved"/>
    <x v="5"/>
    <x v="14"/>
    <x v="0"/>
    <x v="4"/>
    <d v="2024-07-30T00:00:00"/>
    <n v="4004274"/>
    <n v="4004274"/>
    <n v="4004274"/>
    <m/>
    <s v="FY 23/24"/>
  </r>
  <r>
    <s v="317085/Z/24/Z"/>
    <x v="0"/>
    <s v="Proposal for Heat Health Regional Forum in Southeast Asia 2024"/>
    <s v="National University of Singapore"/>
    <s v="Climate &amp; Health"/>
    <s v="Discretionary Award"/>
    <s v="Discretionary Award – C&amp;H - NUS Heat Health Forum"/>
    <s v="Approved"/>
    <x v="5"/>
    <x v="6"/>
    <x v="0"/>
    <x v="4"/>
    <d v="2024-09-30T00:00:00"/>
    <n v="254932.77"/>
    <n v="254932.77"/>
    <n v="254932.77"/>
    <m/>
    <s v="FY 23/24"/>
  </r>
  <r>
    <s v="317649/Z/24/Z"/>
    <x v="0"/>
    <s v="Integrating Actions on Air, Climate, and Health: Building Consensus and Advancing Research on Health Effects of Black Carbon"/>
    <s v="World Health Organization, Switzerland"/>
    <s v="Climate &amp; Health"/>
    <s v="Discretionary Award"/>
    <s v="Discretionary Award – Climate &amp; Health – WHO Health Effects of Black Carbon"/>
    <s v="Approved"/>
    <x v="5"/>
    <x v="6"/>
    <x v="0"/>
    <x v="4"/>
    <d v="2024-09-30T00:00:00"/>
    <n v="245951"/>
    <n v="245951"/>
    <n v="245951"/>
    <m/>
    <s v="FY 23/24"/>
  </r>
  <r>
    <s v="224682/Z/21/Z"/>
    <x v="1"/>
    <s v="Standards for official statistics on climate-health interactions"/>
    <s v="Office for National Statistics"/>
    <s v="United Kingdom"/>
    <s v="UK"/>
    <s v="No"/>
    <s v="Climate &amp; Health"/>
    <x v="5"/>
    <x v="15"/>
    <x v="1"/>
    <x v="2"/>
    <n v="44593"/>
    <n v="4955809"/>
    <m/>
    <n v="4955809"/>
    <s v="https://wellcometrust.lightning.force.com/lightning/r/Funding_Record__c/a2QQ5000000GMEQMA4/view"/>
    <m/>
  </r>
  <r>
    <s v="226474/Z/22/Z"/>
    <x v="1"/>
    <s v="A user-friendly digital prediction tool for dengue prevention"/>
    <s v="University of Queensland"/>
    <s v="Australia"/>
    <s v="HIC"/>
    <s v="No"/>
    <s v="Climate &amp; Health"/>
    <x v="5"/>
    <x v="15"/>
    <x v="1"/>
    <x v="2"/>
    <n v="45184"/>
    <n v="4842967"/>
    <m/>
    <n v="4842967"/>
    <s v="https://wellcometrust.lightning.force.com/lightning/r/Funding_Record__c/a2QQ5000000GDswMAG/view"/>
    <m/>
  </r>
  <r>
    <s v="226306/Z/22/Z"/>
    <x v="1"/>
    <s v="The CIDACS Climate and Environmental Platform (CIDACS-Clima): A data resource to study climate and health"/>
    <s v="London School of Hygiene and Tropical Medicine"/>
    <s v="United Kingdom"/>
    <s v="UK"/>
    <s v="No"/>
    <s v="Climate &amp; Health"/>
    <x v="5"/>
    <x v="15"/>
    <x v="1"/>
    <x v="2"/>
    <n v="45113"/>
    <n v="3497450"/>
    <m/>
    <n v="3497450"/>
    <s v="https://wellcometrust.lightning.force.com/lightning/r/Funding_Record__c/a2QQ5000000GCJNMA4/view"/>
    <m/>
  </r>
  <r>
    <s v="309498/Z/24/Z"/>
    <x v="1"/>
    <s v="Digital solutions for attributing climate change impacts on child nutrition and health (CLIMAKID)"/>
    <s v="Vrije Universiteit Brussel"/>
    <s v="Belgium"/>
    <s v="HIC"/>
    <s v="No"/>
    <s v="Climate &amp; Health"/>
    <x v="5"/>
    <x v="16"/>
    <x v="1"/>
    <x v="2"/>
    <m/>
    <n v="3036502"/>
    <m/>
    <n v="3036502"/>
    <s v="https://wellcometrust.lightning.force.com/lightning/r/Funding_Record__c/a2QQ50000016nezMAA/view"/>
    <m/>
  </r>
  <r>
    <s v="308914/Z/23/Z"/>
    <x v="1"/>
    <s v="Bridging Research on Environmental Attribution and Health Equity (BREATHE)"/>
    <s v="University of Cape Town"/>
    <s v="South Africa"/>
    <s v="LMIC"/>
    <s v="No"/>
    <s v="Climate &amp; Health"/>
    <x v="5"/>
    <x v="16"/>
    <x v="1"/>
    <x v="2"/>
    <m/>
    <n v="2959071"/>
    <m/>
    <n v="2959071"/>
    <s v="https://wellcometrust.lightning.force.com/lightning/r/Funding_Record__c/a2QQ5000000tywhMAA/view"/>
    <m/>
  </r>
  <r>
    <s v="308964/Z/23/Z"/>
    <x v="1"/>
    <s v="ACCLIMATISE: Attribution of a Changing CLIMate in the AssessmenT of malaria Intervention Strategy Efficiency"/>
    <s v="Cheikh Anta Diop University"/>
    <s v="Senegal"/>
    <s v="LMIC"/>
    <s v="No"/>
    <s v="Climate &amp; Health"/>
    <x v="5"/>
    <x v="16"/>
    <x v="1"/>
    <x v="2"/>
    <m/>
    <n v="2953025"/>
    <m/>
    <n v="2953025"/>
    <s v="https://wellcometrust.lightning.force.com/lightning/r/Funding_Record__c/a2QQ5000000vGBSMA2/view"/>
    <m/>
  </r>
  <r>
    <s v="309305/Z/24/Z"/>
    <x v="1"/>
    <s v="AFRIVERSE: Building African Climate-Health Attribution Data, Digitial Tools and Capacity"/>
    <s v="University of Cape Town"/>
    <s v="South Africa"/>
    <s v="LMIC"/>
    <s v="No"/>
    <s v="Climate &amp; Health"/>
    <x v="5"/>
    <x v="16"/>
    <x v="1"/>
    <x v="2"/>
    <m/>
    <n v="2947618"/>
    <m/>
    <n v="2947618"/>
    <s v="https://wellcometrust.lightning.force.com/lightning/r/Funding_Record__c/a2QQ50000013rFJMAY/view"/>
    <m/>
  </r>
  <r>
    <s v="309112/Z/24/Z"/>
    <x v="1"/>
    <s v="TACTIC - Health Impact Toolkit for Climate Change Attribution"/>
    <s v="World Meteorological Organisation"/>
    <s v="Switzerland"/>
    <s v="HIC"/>
    <s v="No"/>
    <s v="Climate &amp; Health"/>
    <x v="5"/>
    <x v="16"/>
    <x v="1"/>
    <x v="2"/>
    <m/>
    <n v="2871124"/>
    <m/>
    <n v="2871124"/>
    <s v="https://wellcometrust.lightning.force.com/lightning/r/Funding_Record__c/a2QQ5000000zm2vMAA/view"/>
    <m/>
  </r>
  <r>
    <s v="309105/Z/24/Z"/>
    <x v="1"/>
    <s v="Tracking the Impacts of Climate Change on Maternal and Child Health: The Global Heat Attribution Project (GHAP)"/>
    <s v="University College London"/>
    <s v="United Kingdom"/>
    <s v="UK"/>
    <s v="No"/>
    <s v="Climate &amp; Health"/>
    <x v="5"/>
    <x v="16"/>
    <x v="1"/>
    <x v="2"/>
    <m/>
    <n v="2870758"/>
    <m/>
    <n v="2870758"/>
    <s v="https://wellcometrust.lightning.force.com/lightning/r/Funding_Record__c/a2QQ5000000zcgHMAQ/view"/>
    <m/>
  </r>
  <r>
    <s v="225436/Z/22/Z"/>
    <x v="1"/>
    <s v="Climate and Health Data Capcity Accelerator"/>
    <s v="New Venture Fund"/>
    <s v="United States"/>
    <s v="HIC"/>
    <s v="No"/>
    <s v="Climate &amp; Health"/>
    <x v="5"/>
    <x v="15"/>
    <x v="1"/>
    <x v="2"/>
    <d v="2022-10-20T00:00:00"/>
    <n v="5559243"/>
    <m/>
    <n v="5559243"/>
    <s v="https://wellcometrust.lightning.force.com/lightning/r/Funding_Record__c/a2QQ5000000G6lKMAS/view"/>
    <m/>
  </r>
  <r>
    <s v="224709/Z/21/Z"/>
    <x v="1"/>
    <s v="Individualised heat-health early warning systems: A novel digital solution"/>
    <s v="Griffith University"/>
    <s v="Australia"/>
    <s v="HIC"/>
    <s v="No"/>
    <s v="Climate &amp; Health"/>
    <x v="5"/>
    <x v="15"/>
    <x v="1"/>
    <x v="2"/>
    <d v="2022-05-16T00:00:00"/>
    <n v="1288680"/>
    <m/>
    <n v="1288680"/>
    <s v="https://wellcometrust.lightning.force.com/lightning/r/Funding_Record__c/a2QQ5000000GMEPMA4/view"/>
    <m/>
  </r>
  <r>
    <s v="224694/Z/21/Z"/>
    <x v="1"/>
    <s v="Harmonizing multi-scale spatiotemporal data for health in climate change hotspots"/>
    <s v="Barcelona Supercomputing Center, London"/>
    <s v="United Kingdom"/>
    <s v="HIC"/>
    <s v="No"/>
    <s v="Climate &amp; Health"/>
    <x v="5"/>
    <x v="15"/>
    <x v="1"/>
    <x v="2"/>
    <d v="2022-05-01T00:00:00"/>
    <n v="2477361"/>
    <m/>
    <n v="2477361"/>
    <s v="https://wellcometrust.lightning.force.com/lightning/r/Funding_Record__c/a2QQ5000000GT7GMAW/view"/>
    <m/>
  </r>
  <r>
    <s v="228255/Z/23/Z"/>
    <x v="1"/>
    <s v="Insights for driving climate action in diverse policy ecosystems"/>
    <s v="George Mason University "/>
    <s v="United States"/>
    <s v="HIC"/>
    <s v="No"/>
    <s v="Climate &amp; Health"/>
    <x v="5"/>
    <x v="6"/>
    <x v="2"/>
    <x v="2"/>
    <d v="2023-09-15T00:00:00"/>
    <n v="830537"/>
    <m/>
    <n v="830537"/>
    <s v="https://wellcometrust.lightning.force.com/lightning/r/Funding_Record__c/a2QQ5000000GNvEMAW/view"/>
    <m/>
  </r>
  <r>
    <s v="226092/Z/22/Z"/>
    <x v="1"/>
    <s v="FloDisMod - A Framework for Flood and Disease Modeling"/>
    <s v="The University of Texas at Austin"/>
    <s v="United States"/>
    <s v="HIC"/>
    <s v="No"/>
    <s v="Climate &amp; Health"/>
    <x v="5"/>
    <x v="17"/>
    <x v="1"/>
    <x v="2"/>
    <d v="2023-01-01T00:00:00"/>
    <n v="566937"/>
    <m/>
    <n v="566937"/>
    <s v="https://wellcometrust.lightning.force.com/lightning/r/Funding_Record__c/a2QQ5000000GWZnMAO/view"/>
    <m/>
  </r>
  <r>
    <s v="226053/Z/22/Z"/>
    <x v="1"/>
    <s v="Digital Technology for Storm-Related Malaria Response in Mozambique"/>
    <s v="University of Minnesota System"/>
    <s v="United States"/>
    <s v="HIC"/>
    <s v="No"/>
    <s v="Climate &amp; Health"/>
    <x v="5"/>
    <x v="17"/>
    <x v="1"/>
    <x v="2"/>
    <d v="2022-10-01T00:00:00"/>
    <n v="565228"/>
    <m/>
    <n v="565228"/>
    <s v="https://wellcometrust.lightning.force.com/lightning/r/Funding_Record__c/a2QQ5000000GGhRMAW/view"/>
    <m/>
  </r>
  <r>
    <s v="226428/Z/22/Z"/>
    <x v="1"/>
    <s v="Dynamic Infectious Disease Risk Platform for Decision-Makers"/>
    <s v="University of California, San Diego"/>
    <s v="United States"/>
    <s v="HIC"/>
    <s v="No"/>
    <s v="Climate &amp; Health"/>
    <x v="5"/>
    <x v="15"/>
    <x v="1"/>
    <x v="2"/>
    <d v="2023-01-20T00:00:00"/>
    <n v="562988"/>
    <m/>
    <n v="562988"/>
    <s v="https://wellcometrust.lightning.force.com/lightning/r/Funding_Record__c/a2QQ5000000GUNFMA4/view"/>
    <m/>
  </r>
  <r>
    <s v="226061/Z/22/Z"/>
    <x v="1"/>
    <s v="An Open Source Framework for Rift Valley Fever Forecasting"/>
    <s v="EcoHealth Alliance"/>
    <s v="United States"/>
    <s v="HIC"/>
    <s v="No"/>
    <s v="Climate &amp; Health"/>
    <x v="5"/>
    <x v="17"/>
    <x v="1"/>
    <x v="2"/>
    <d v="2022-10-01T00:00:00"/>
    <n v="556300"/>
    <m/>
    <n v="556300"/>
    <s v="https://wellcometrust.lightning.force.com/lightning/r/Funding_Record__c/a2QQ5000000G9OUMA0/view"/>
    <m/>
  </r>
  <r>
    <s v="226088/Z/22/Z"/>
    <x v="1"/>
    <s v="Mosqlimate"/>
    <s v="Fundação Getulio Vargas"/>
    <s v="Brazil"/>
    <s v="LMIC"/>
    <s v="No"/>
    <s v="Climate &amp; Health"/>
    <x v="5"/>
    <x v="17"/>
    <x v="1"/>
    <x v="2"/>
    <d v="2023-01-15T00:00:00"/>
    <n v="514354.69"/>
    <m/>
    <n v="514354.69"/>
    <s v="https://wellcometrust.lightning.force.com/lightning/r/Funding_Record__c/a2QQ5000000GLpmMAG/view"/>
    <m/>
  </r>
  <r>
    <s v="226099/Z/22/Z"/>
    <x v="1"/>
    <s v="Climate-driven models to predict future risk of arenavirus spillover"/>
    <s v="University of California, Davis"/>
    <s v="United States"/>
    <s v="HIC"/>
    <s v="No"/>
    <s v="Climate &amp; Health"/>
    <x v="5"/>
    <x v="17"/>
    <x v="1"/>
    <x v="2"/>
    <d v="2022-11-02T00:00:00"/>
    <n v="553752"/>
    <m/>
    <n v="553752"/>
    <s v="https://wellcometrust.lightning.force.com/lightning/r/Funding_Record__c/a2QQ5000000GFlxMAG/view"/>
    <m/>
  </r>
  <r>
    <s v="226078/Z/22/Z"/>
    <x v="1"/>
    <s v="WaterPath: A Future Scenario Toolkit for Waterborne Infectious Disease Modelling"/>
    <s v="Wageningen University "/>
    <s v="Netherlands"/>
    <s v="HIC"/>
    <s v="No"/>
    <s v="Climate &amp; Health"/>
    <x v="5"/>
    <x v="17"/>
    <x v="1"/>
    <x v="2"/>
    <d v="2023-05-01T00:00:00"/>
    <n v="534931"/>
    <m/>
    <n v="534931"/>
    <s v="https://wellcometrust.lightning.force.com/lightning/r/Funding_Record__c/a2QQ5000000GCfwMAG/view"/>
    <m/>
  </r>
  <r>
    <s v="226069/Z/22/Z"/>
    <x v="1"/>
    <s v="IDExtremes: A modelling tool to predict the probability of infectious disease outbreaks given compound extreme climatic events"/>
    <s v="Barcelona Supercomputing Center, London"/>
    <s v="United Kigdom"/>
    <s v="UK"/>
    <s v="No"/>
    <s v="Climate &amp; Health"/>
    <x v="5"/>
    <x v="17"/>
    <x v="1"/>
    <x v="2"/>
    <d v="2023-06-01T00:00:00"/>
    <n v="533798"/>
    <m/>
    <n v="533798"/>
    <s v="https://wellcometrust.lightning.force.com/lightning/r/Funding_Record__c/a2QQ5000000GLHJMA4/view"/>
    <m/>
  </r>
  <r>
    <s v="226065/Z/22/Z"/>
    <x v="1"/>
    <s v="Climate-driven vector-borne disease risk assessment"/>
    <s v="Cyprus Institute "/>
    <s v="Cyprus"/>
    <s v="HIC"/>
    <s v="No"/>
    <s v="Climate &amp; Health"/>
    <x v="5"/>
    <x v="17"/>
    <x v="1"/>
    <x v="2"/>
    <d v="2023-01-01T00:00:00"/>
    <n v="524866"/>
    <m/>
    <n v="524866"/>
    <s v="https://wellcometrust.lightning.force.com/lightning/r/Funding_Record__c/a2QQ5000000GI7ZMAW/view"/>
    <m/>
  </r>
  <r>
    <s v="226072/Z/22/Z"/>
    <x v="1"/>
    <s v="Climate Sensitive Vector Borne Disease Intervention Tools"/>
    <s v="Imperial College London"/>
    <s v="United Kingdom"/>
    <s v="UK"/>
    <s v="No"/>
    <s v="Climate &amp; Health"/>
    <x v="5"/>
    <x v="17"/>
    <x v="1"/>
    <x v="2"/>
    <d v="2022-11-01T00:00:00"/>
    <n v="519891"/>
    <m/>
    <n v="519891"/>
    <s v="https://wellcometrust.lightning.force.com/lightning/r/Funding_Record__c/a2QQ5000000GF5dMAG/view"/>
    <m/>
  </r>
  <r>
    <s v="225963/Z/22/Z"/>
    <x v="1"/>
    <s v="Health RADAR: Responsible Access to Data for Analysis and Research"/>
    <s v="University of Cape Town"/>
    <s v="South Africa"/>
    <s v="LMIC"/>
    <s v="No"/>
    <s v="Climate &amp; Health"/>
    <x v="5"/>
    <x v="17"/>
    <x v="1"/>
    <x v="2"/>
    <d v="2023-04-01T00:00:00"/>
    <n v="513372"/>
    <m/>
    <n v="513372"/>
    <s v="https://wellcometrust.lightning.force.com/lightning/r/Funding_Record__c/a2QQ5000000GQs0MAG/view"/>
    <m/>
  </r>
  <r>
    <s v="226052/Z/22/Z"/>
    <x v="1"/>
    <s v="Dengue Advanced Readiness Tools (DART) - Integrated digital system for dengue outbreak prediction and monitoring"/>
    <s v="National Institute of Hygiene and Epidemiology"/>
    <s v="Vietnam"/>
    <s v="LMIC"/>
    <s v="No"/>
    <s v="Climate &amp; Health"/>
    <x v="5"/>
    <x v="17"/>
    <x v="1"/>
    <x v="2"/>
    <d v="2022-12-01T00:00:00"/>
    <n v="509905"/>
    <m/>
    <n v="509905"/>
    <s v="https://wellcometrust.lightning.force.com/lightning/r/Funding_Record__c/a2QQ5000000GT0BMAW/view"/>
    <m/>
  </r>
  <r>
    <s v="225997/Z/22/Z"/>
    <x v="1"/>
    <s v="CLIMate Sensitive DISease forecasting tool - CLIMSEDIS"/>
    <s v="Abdus Salam International Centre for Theoretical Physics"/>
    <s v="Italy"/>
    <s v="HIC"/>
    <s v="No"/>
    <s v="Climate &amp; Health"/>
    <x v="5"/>
    <x v="17"/>
    <x v="1"/>
    <x v="2"/>
    <d v="2023-04-01T00:00:00"/>
    <n v="509875"/>
    <m/>
    <n v="509875"/>
    <s v="https://wellcometrust.lightning.force.com/lightning/r/Funding_Record__c/a2QQ5000000GXgoMAG/view"/>
    <m/>
  </r>
  <r>
    <s v="226091/Z/22/Z"/>
    <x v="1"/>
    <s v="Water-Associated Infectious Diseases in India: Digital Management Tools (WADIM)"/>
    <s v="Plymouth Marine Laboratory"/>
    <s v="United Kingdom"/>
    <s v="UK"/>
    <s v="No"/>
    <s v="Climate &amp; Health"/>
    <x v="5"/>
    <x v="17"/>
    <x v="1"/>
    <x v="2"/>
    <d v="2023-04-01T00:00:00"/>
    <n v="508827"/>
    <m/>
    <n v="508827"/>
    <s v="https://wellcometrust.lightning.force.com/lightning/r/Funding_Record__c/a2QQ5000000G6RmMAK/view"/>
    <m/>
  </r>
  <r>
    <s v="226429/Z/22/Z"/>
    <x v="1"/>
    <s v="Multi-scale seamless prediction of arboviral outbreaks in Thailand (ARBOTHAI)"/>
    <s v="Barcelona Institute for Global Health"/>
    <s v="Spain"/>
    <s v="HIC"/>
    <s v="No"/>
    <s v="Climate &amp; Health"/>
    <x v="5"/>
    <x v="15"/>
    <x v="1"/>
    <x v="2"/>
    <d v="2023-04-14T00:00:00"/>
    <n v="506607"/>
    <m/>
    <n v="506607"/>
    <s v="https://wellcometrust.lightning.force.com/lightning/r/Funding_Record__c/a2QQ5000000GK5CMAW/view"/>
    <m/>
  </r>
  <r>
    <s v="226075/Z/22/Z"/>
    <x v="1"/>
    <s v="ARBOVERSE: A data-driven platform and disease modeling to anticipating and mitigating arbovirus emergence"/>
    <s v="Iuniversity of Copenhagen"/>
    <s v="Denmark"/>
    <s v="HIC"/>
    <s v="No"/>
    <s v="Climate &amp; Health"/>
    <x v="5"/>
    <x v="17"/>
    <x v="1"/>
    <x v="2"/>
    <d v="2022-10-03T00:00:00"/>
    <n v="504479"/>
    <m/>
    <n v="504479"/>
    <s v="https://wellcometrust.lightning.force.com/lightning/r/Funding_Record__c/a2QQ5000000G9zkMAC/view"/>
    <m/>
  </r>
  <r>
    <s v="226100/Z/22/Z"/>
    <x v="1"/>
    <s v="An enhanced vector-borne disease digital surveillance platform for areas under threat of extreme hydro-meteorolgical events (HydroVec)"/>
    <s v="Liverpool School of Tropical Medicine"/>
    <s v="United Kingdom"/>
    <s v="UK"/>
    <s v="No"/>
    <s v="Climate &amp; Health"/>
    <x v="5"/>
    <x v="17"/>
    <x v="1"/>
    <x v="2"/>
    <d v="2023-07-01T00:00:00"/>
    <n v="483759"/>
    <m/>
    <n v="483759"/>
    <s v="https://wellcometrust.lightning.force.com/lightning/r/Funding_Record__c/a2QQ5000000GUJsMAO/view"/>
    <m/>
  </r>
  <r>
    <s v="226064/Z/22/Z"/>
    <x v="1"/>
    <s v="Co-creation of a multi-pathogen predictive dashboard to improve health system responsiveness to climate-sensitive diseases in rural Madagascar "/>
    <s v="PIVOT Works, Inc. GB"/>
    <s v="United Kingdom"/>
    <s v="UK"/>
    <s v="No"/>
    <s v="Climate &amp; Health"/>
    <x v="5"/>
    <x v="17"/>
    <x v="1"/>
    <x v="2"/>
    <d v="2023-07-01T00:00:00"/>
    <n v="470546"/>
    <m/>
    <n v="470546"/>
    <s v="https://wellcometrust.lightning.force.com/lightning/r/Funding_Record__c/a2QQ5000000GAhpMAG/view"/>
    <m/>
  </r>
  <r>
    <s v="226087/A/22/Z"/>
    <x v="1"/>
    <s v="Developing an Open-source Software Application for Community Level Cholera Outbreak-Risk Prediction and Feedback through Early Warning Systems (CholOut-EWS): A Pilot Study in Dhaka and Matlab, Bangladesh"/>
    <s v="University of Leeds"/>
    <s v="United Kingdom"/>
    <s v="UK"/>
    <s v="No"/>
    <s v="Climate &amp; Health"/>
    <x v="5"/>
    <x v="17"/>
    <x v="1"/>
    <x v="2"/>
    <d v="2023-08-01T00:00:00"/>
    <n v="460648"/>
    <m/>
    <n v="460648"/>
    <s v="https://wellcometrust.lightning.force.com/lightning/r/Funding_Record__c/a2QQ5000000GWXJMA4/view"/>
    <m/>
  </r>
  <r>
    <s v="313934/Z/24/Z"/>
    <x v="1"/>
    <s v="Health and the UNFCC - Policy Impact"/>
    <s v="Social Good Fund, Berkeley, GB"/>
    <s v="United Kingdom"/>
    <s v="UK"/>
    <s v="No"/>
    <s v="Climate &amp; Health"/>
    <x v="5"/>
    <x v="6"/>
    <x v="3"/>
    <x v="2"/>
    <m/>
    <n v="404971"/>
    <m/>
    <n v="404971"/>
    <s v="https://wellcometrust.lightning.force.com/lightning/r/Funding_Record__c/a2QQ5000001uHdVMAU/view"/>
    <m/>
  </r>
  <r>
    <s v="226080/Z/22/Z"/>
    <x v="1"/>
    <s v="A web app for accessible, reproducible, multi-scale regression models for mapping climate driuven infectious disease"/>
    <s v="University of Leicester"/>
    <s v="United Kingdom"/>
    <s v="UK"/>
    <s v="No"/>
    <s v="Climate &amp; Health"/>
    <x v="5"/>
    <x v="17"/>
    <x v="1"/>
    <x v="2"/>
    <d v="2023-06-01T00:00:00"/>
    <n v="393393"/>
    <m/>
    <n v="393393"/>
    <s v="https://wellcometrust.lightning.force.com/lightning/r/Funding_Record__c/a2QQ5000000GWLsMAO/view"/>
    <m/>
  </r>
  <r>
    <s v="226044/Z/22/Z"/>
    <x v="1"/>
    <s v="CliZod, compiling knowledge: A participation database of modelling parameters for climate sensitive zoonotic diseases"/>
    <s v="Massey University"/>
    <s v="New Zealand"/>
    <s v="HIC"/>
    <s v="No"/>
    <s v="Climate &amp; Health"/>
    <x v="5"/>
    <x v="17"/>
    <x v="1"/>
    <x v="2"/>
    <d v="2023-02-01T00:00:00"/>
    <n v="378925"/>
    <m/>
    <n v="378925"/>
    <s v="https://wellcometrust.lightning.force.com/lightning/r/Funding_Record__c/a2QQ5000000GJkAMAW/view"/>
    <m/>
  </r>
  <r>
    <s v="228164/Z/23/Z"/>
    <x v="1"/>
    <s v="Building political momentum for formalizing health engagement in climate-change negotiations"/>
    <s v="Amref Health Africa"/>
    <s v="Kenya"/>
    <s v="LMIC"/>
    <s v="No"/>
    <s v="Climate &amp; Health"/>
    <x v="5"/>
    <x v="6"/>
    <x v="4"/>
    <x v="2"/>
    <d v="2023-08-14T00:00:00"/>
    <n v="378071"/>
    <m/>
    <n v="378071"/>
    <s v="https://wellcometrust.lightning.force.com/lightning/r/Funding_Record__c/a2QQ5000000GKkEMAW/view"/>
    <m/>
  </r>
  <r>
    <s v="226107/Z/22/Z"/>
    <x v="1"/>
    <s v="A model-driven software development platform for Climate-Sensitive Infectious Disease Modelling"/>
    <s v="Public Health Agency of Canada"/>
    <s v="Canada"/>
    <s v="HIC"/>
    <s v="No"/>
    <s v="Climate &amp; Health"/>
    <x v="5"/>
    <x v="17"/>
    <x v="1"/>
    <x v="2"/>
    <d v="2023-10-01T00:00:00"/>
    <n v="271702"/>
    <m/>
    <n v="271702"/>
    <s v="https://wellcometrust.lightning.force.com/lightning/r/Funding_Record__c/a2QQ5000000GP8rMAG/view"/>
    <m/>
  </r>
  <r>
    <s v="226057/Z/22/Z"/>
    <x v="1"/>
    <s v="The Impact of Climate Variability on Infectious Disease Epidemic Risks"/>
    <s v="University of Warwick"/>
    <s v="United Kingdom"/>
    <s v="UK"/>
    <s v="No"/>
    <s v="Climate &amp; Health"/>
    <x v="5"/>
    <x v="17"/>
    <x v="1"/>
    <x v="2"/>
    <d v="2023-09-01T00:00:00"/>
    <n v="176005"/>
    <m/>
    <n v="176005"/>
    <s v="https://wellcometrust.lightning.force.com/lightning/r/Funding_Record__c/a2QQ5000000GIR9MAO/view"/>
    <m/>
  </r>
  <r>
    <s v="303809/Z/23/Z"/>
    <x v="1"/>
    <s v="What Works Climate Solutions Summit - fostering evidence synthesis and health to inform climate solutions"/>
    <s v="Postdam Institute for Climate Impact Research"/>
    <s v="Germany"/>
    <s v="HIC"/>
    <s v="No"/>
    <s v="Climate &amp; Health"/>
    <x v="5"/>
    <x v="15"/>
    <x v="1"/>
    <x v="2"/>
    <d v="2023-12-15T00:00:00"/>
    <n v="99749"/>
    <m/>
    <n v="99749"/>
    <s v="https://wellcometrust.lightning.force.com/lightning/r/Funding_Record__c/a2Q8d00000OC6xvEAD/view"/>
    <m/>
  </r>
  <r>
    <s v="306133/Z/23/Z"/>
    <x v="1"/>
    <s v="Improving Reporting of Climate and Health at COP28"/>
    <s v="Internews Europe GB"/>
    <s v="United Kingdom"/>
    <s v="UK"/>
    <s v="No"/>
    <s v="Climate &amp; Health"/>
    <x v="5"/>
    <x v="6"/>
    <x v="4"/>
    <x v="2"/>
    <d v="2023-10-16T00:00:00"/>
    <n v="99090"/>
    <m/>
    <n v="99090"/>
    <s v="https://wellcometrust.lightning.force.com/lightning/r/Funding_Record__c/a2QQ5000000AJscMAG/view"/>
    <m/>
  </r>
  <r>
    <s v="228193/Z/23/Z"/>
    <x v="1"/>
    <s v="Driving Impact through Climate, Health and Creative Partnerships"/>
    <s v="Climate Group NY"/>
    <s v="United States"/>
    <s v="HIC"/>
    <s v="No"/>
    <s v="Climate &amp; Health"/>
    <x v="5"/>
    <x v="6"/>
    <x v="4"/>
    <x v="2"/>
    <d v="2023-09-01T00:00:00"/>
    <n v="97991"/>
    <m/>
    <n v="97991"/>
    <s v="https://wellcometrust.lightning.force.com/lightning/r/Funding_Record__c/a2QQ5000000GDjoMAG/view"/>
    <m/>
  </r>
  <r>
    <s v="095066/Z/10/Z"/>
    <x v="2"/>
    <s v="Defining the population at risk and burden of disease of Plasmodium vivax malaria."/>
    <s v="University of Oxford"/>
    <s v="United Kingdom"/>
    <s v="UK"/>
    <s v="No"/>
    <m/>
    <x v="5"/>
    <x v="18"/>
    <x v="0"/>
    <x v="0"/>
    <d v="2011-12-01T00:00:00"/>
    <n v="1134454"/>
    <n v="1234454"/>
    <n v="1234454"/>
    <s v="https://wellcometrust.lightning.force.com/lightning/r/Funding_Record__c/a2QQ5000000GDEiMAO/view"/>
    <m/>
  </r>
  <r>
    <s v="092654/Z/10/A"/>
    <x v="2"/>
    <s v="Oxford part of Kenya MOP renewal 2010 - 2015"/>
    <s v="University of Oxford"/>
    <s v="United Kingdom"/>
    <s v="UK"/>
    <s v="No"/>
    <m/>
    <x v="5"/>
    <x v="18"/>
    <x v="0"/>
    <x v="0"/>
    <d v="2011-10-01T00:00:00"/>
    <n v="32168256"/>
    <n v="32495692"/>
    <n v="32495692"/>
    <s v="https://wellcometrust.lightning.force.com/lightning/r/Funding_Record__c/a2QQ5000000GNzNMAW/view"/>
    <m/>
  </r>
  <r>
    <s v="201900/Z/16/Z"/>
    <x v="2"/>
    <s v="Global Atlas of Podoconiosis"/>
    <s v="University of Susses"/>
    <s v="United Kingdom"/>
    <s v="UK"/>
    <s v="No"/>
    <m/>
    <x v="5"/>
    <x v="18"/>
    <x v="0"/>
    <x v="0"/>
    <d v="2016-10-01T00:00:00"/>
    <n v="660064"/>
    <n v="660064"/>
    <n v="660064"/>
    <s v="https://wellcometrust.lightning.force.com/lightning/r/Funding_Record__c/a2QQ5000000GSMNMA4/view"/>
    <m/>
  </r>
  <r>
    <s v="100693/Z/12/Z"/>
    <x v="2"/>
    <s v="Wellcome Trust - Imperial College Centre for Global Health Research"/>
    <s v="Imperial College London"/>
    <s v="United Kingdom"/>
    <s v="UK"/>
    <s v="No"/>
    <m/>
    <x v="5"/>
    <x v="18"/>
    <x v="0"/>
    <x v="0"/>
    <d v="2013-10-07T00:00:00"/>
    <n v="767599"/>
    <n v="767599"/>
    <n v="767599"/>
    <s v="https://wellcometrust.lightning.force.com/lightning/r/Funding_Record__c/a2QQ5000000GYKzMAO/view"/>
    <m/>
  </r>
  <r>
    <s v="085308/Z/08/Z"/>
    <x v="2"/>
    <s v="Epidemiology of zoonoses amongst livestock and their keepers in East Africa."/>
    <s v="University of Edinburugh"/>
    <s v="United Kingdom"/>
    <s v="UK"/>
    <s v="No"/>
    <m/>
    <x v="5"/>
    <x v="18"/>
    <x v="0"/>
    <x v="0"/>
    <d v="2009-01-01T00:00:00"/>
    <n v="629157"/>
    <n v="629157"/>
    <n v="629157"/>
    <s v="https://wellcometrust.lightning.force.com/lightning/r/Funding_Record__c/a2QQ5000000G9JGMA0/view"/>
    <m/>
  </r>
  <r>
    <s v="089276/Z/09/Z"/>
    <x v="2"/>
    <s v="Viet Nam Major Overseas Programme Core Grant Renewal 2010-2015."/>
    <s v="University of Oxford"/>
    <s v="United Kingdom"/>
    <s v="UK"/>
    <s v="No"/>
    <m/>
    <x v="5"/>
    <x v="18"/>
    <x v="0"/>
    <x v="0"/>
    <d v="2010-10-01T00:00:00"/>
    <n v="10696617"/>
    <n v="20391456"/>
    <n v="20391456"/>
    <s v="https://wellcometrust.lightning.force.com/lightning/r/Funding_Record__c/a2QQ5000000GESfMAO/view"/>
    <m/>
  </r>
  <r>
    <s v="076951/Z/05/Z"/>
    <x v="2"/>
    <s v="Constructing contemporary global maps of Plasmodium falciparum and P.vivax endemicity."/>
    <s v="University of Oxford"/>
    <s v="United Kingdom"/>
    <s v="UK"/>
    <s v="No"/>
    <m/>
    <x v="5"/>
    <x v="18"/>
    <x v="0"/>
    <x v="0"/>
    <d v="2005-06-01T00:00:00"/>
    <n v="164101"/>
    <n v="164101"/>
    <n v="164101"/>
    <s v="https://wellcometrust.lightning.force.com/lightning/r/Funding_Record__c/a2QQ5000000GIfDMAW/view"/>
    <m/>
  </r>
  <r>
    <s v="077092/Z/05/C"/>
    <x v="2"/>
    <s v="KEMRI core extension (2010-2011) -Kenya MOP"/>
    <s v="Kenya Medical Research Institute"/>
    <s v="Kenya"/>
    <s v="LMIC"/>
    <s v="No"/>
    <m/>
    <x v="5"/>
    <x v="18"/>
    <x v="0"/>
    <x v="0"/>
    <d v="2005-10-01T00:00:00"/>
    <n v="4323279"/>
    <n v="14169781"/>
    <n v="14169781"/>
    <s v="https://wellcometrust.lightning.force.com/lightning/r/Funding_Record__c/a2QQ5000000GVZ4MAO/view"/>
    <m/>
  </r>
  <r>
    <s v="093724/Z/10/Z"/>
    <x v="2"/>
    <s v="Wellcome Trust-Vietnam initiative on zoonotic infections WT-VIZIONS"/>
    <s v="University of Oxford"/>
    <s v="United Kingdom"/>
    <s v="UK"/>
    <s v="No"/>
    <m/>
    <x v="5"/>
    <x v="18"/>
    <x v="0"/>
    <x v="0"/>
    <d v="2012-01-01T00:00:00"/>
    <n v="3504540"/>
    <n v="5000000"/>
    <n v="5000000"/>
    <s v="https://wellcometrust.lightning.force.com/lightning/r/Funding_Record__c/a2QQ5000000G6y8MAC/view"/>
    <m/>
  </r>
  <r>
    <s v="099876/Z/12/Z"/>
    <x v="2"/>
    <s v="Epidemiological mapping of podoconiosis in Ethiopia ."/>
    <s v="University of Sussex"/>
    <s v="United Kingdom"/>
    <s v="UK"/>
    <s v="No"/>
    <m/>
    <x v="5"/>
    <x v="18"/>
    <x v="0"/>
    <x v="0"/>
    <d v="2013-06-01T00:00:00"/>
    <n v="272808"/>
    <n v="272808"/>
    <n v="272808"/>
    <s v="https://wellcometrust.lightning.force.com/lightning/r/Funding_Record__c/a2QQ5000000GZPvMAO/view"/>
    <m/>
  </r>
  <r>
    <s v="098045/Z/11/Z"/>
    <x v="2"/>
    <s v="Measuring the control and elmination of neglected tropical diseases in Africa."/>
    <s v="London School of Hygiene and Tropical Medicine"/>
    <s v="United Kingdom"/>
    <s v="UK"/>
    <s v="No"/>
    <m/>
    <x v="5"/>
    <x v="18"/>
    <x v="0"/>
    <x v="0"/>
    <d v="2012-08-01T00:00:00"/>
    <n v="2155194"/>
    <n v="2155194"/>
    <n v="2155194"/>
    <s v="https://wellcometrust.lightning.force.com/lightning/r/Funding_Record__c/a2QQ5000000GMO3MAO/view"/>
    <m/>
  </r>
  <r>
    <s v="078925/Z/05/Z"/>
    <x v="2"/>
    <s v="Monitoring trends in malaria transmission using serological markers of malaria exposure."/>
    <s v="London School of Hygiene and Tropical Medicine"/>
    <s v="United Kingdom"/>
    <s v="UK"/>
    <s v="No"/>
    <m/>
    <x v="5"/>
    <x v="18"/>
    <x v="0"/>
    <x v="0"/>
    <d v="2010-10-01T00:00:00"/>
    <n v="522515"/>
    <n v="522215"/>
    <n v="522215"/>
    <s v="https://wellcometrust.lightning.force.com/lightning/r/Funding_Record__c/a2QQ5000000GQc9MAG/view"/>
    <m/>
  </r>
  <r>
    <s v="210794/Z/18/Z"/>
    <x v="2"/>
    <s v="Lancet Series on 'Environment, Agriculture, Food and Health"/>
    <s v="London School of Hygiene and Tropical Medicine"/>
    <s v="United Kingdom"/>
    <s v="UK"/>
    <s v="No"/>
    <m/>
    <x v="5"/>
    <x v="18"/>
    <x v="0"/>
    <x v="0"/>
    <d v="2018-02-05T00:00:00"/>
    <n v="99853"/>
    <n v="99853"/>
    <n v="99853"/>
    <s v="https://wellcometrust.lightning.force.com/lightning/r/Funding_Record__c/a2QQ5000000Ga5qMAC/view"/>
    <m/>
  </r>
  <r>
    <s v="084538/Z/07/Z"/>
    <x v="2"/>
    <s v="Developing research capacity and leadership in East Africa from the KEMRI-Wellcome Trust Research Programme, Kenya ."/>
    <s v="Kenya Medical Research Institute"/>
    <s v="United Kingdom"/>
    <s v="UK"/>
    <s v="No"/>
    <m/>
    <x v="5"/>
    <x v="18"/>
    <x v="0"/>
    <x v="0"/>
    <d v="2014-07-01T00:00:00"/>
    <n v="3759745"/>
    <n v="11400134"/>
    <n v="11400134"/>
    <s v="https://wellcometrust.lightning.force.com/lightning/r/Funding_Record__c/a2QQ5000000GPoZMAW/view"/>
    <m/>
  </r>
  <r>
    <s v="087540/Z/08/Z"/>
    <x v="2"/>
    <s v="Training Health Researchers into Vocational Excellence in East Africa (THRiVE)."/>
    <s v="Makerere University"/>
    <s v="Uganda"/>
    <s v="LMIC"/>
    <s v="No"/>
    <m/>
    <x v="5"/>
    <x v="18"/>
    <x v="0"/>
    <x v="0"/>
    <d v="2009-08-01T00:00:00"/>
    <n v="4814746"/>
    <n v="6481157"/>
    <n v="6481157"/>
    <s v="https://wellcometrust.lightning.force.com/lightning/r/Funding_Record__c/a2QQ5000000GMC1MAO/view"/>
    <m/>
  </r>
  <r>
    <s v="101113/Z/13/Z"/>
    <x v="2"/>
    <s v="Malawi-Liverpool-Wellcome Trust Clinical Research Programme."/>
    <s v="Liverpool School of Tropical Medicine"/>
    <s v="United Kingdom"/>
    <s v="UK"/>
    <s v="No"/>
    <m/>
    <x v="5"/>
    <x v="18"/>
    <x v="0"/>
    <x v="0"/>
    <d v="2013-07-01T00:00:00"/>
    <n v="13200000"/>
    <n v="14766566"/>
    <n v="14766566"/>
    <s v="https://wellcometrust.lightning.force.com/lightning/r/Funding_Record__c/a2QQ5000000GYvpMAG/view"/>
    <m/>
  </r>
  <r>
    <s v="203077/Z/16/Z"/>
    <x v="2"/>
    <s v="Kenya KWTRP Major Overseas Programme"/>
    <s v="University of Oxford"/>
    <s v="United Kingdom"/>
    <s v="UK"/>
    <s v="No"/>
    <m/>
    <x v="5"/>
    <x v="18"/>
    <x v="0"/>
    <x v="0"/>
    <d v="2016-10-01T00:00:00"/>
    <n v="26595244"/>
    <n v="45500000"/>
    <n v="45500000"/>
    <s v="https://wellcometrust.lightning.force.com/lightning/r/Funding_Record__c/a2QQ5000000G5BpMAK/view"/>
    <m/>
  </r>
  <r>
    <s v="033340/Z/97/B"/>
    <x v="2"/>
    <s v="Mapping malaria risk and disease burden in Africa."/>
    <s v="University of Oxford"/>
    <s v="United Kingdom"/>
    <s v="UK"/>
    <s v="No"/>
    <m/>
    <x v="5"/>
    <x v="18"/>
    <x v="0"/>
    <x v="0"/>
    <d v="2001-05-01T00:00:00"/>
    <n v="4284"/>
    <n v="4284"/>
    <n v="4284"/>
    <m/>
    <m/>
  </r>
  <r>
    <s v="072465/Z/03/Z"/>
    <x v="2"/>
    <s v="Pre- and post-natal exposure to partuculate matter and pregnancy and infant outcomes: an historical cohort study 1961-92."/>
    <s v="Newcastle University"/>
    <s v="United Kingdom"/>
    <s v="UK"/>
    <s v="No"/>
    <m/>
    <x v="5"/>
    <x v="18"/>
    <x v="0"/>
    <x v="0"/>
    <d v="2004-03-01T00:00:00"/>
    <n v="238221"/>
    <n v="254721"/>
    <n v="254721"/>
    <s v="https://wellcometrust.lightning.force.com/lightning/r/Funding_Record__c/a2QQ5000000GF1QMAW/view"/>
    <m/>
  </r>
  <r>
    <s v="087547/Z/08/Z"/>
    <x v="2"/>
    <s v="Consortium for Advanced Research Training in Africa (CARTA)."/>
    <s v="African Population and Health Research Center"/>
    <s v="Kenya"/>
    <s v="LMIC"/>
    <s v="No"/>
    <m/>
    <x v="5"/>
    <x v="18"/>
    <x v="0"/>
    <x v="0"/>
    <d v="2009-08-01T00:00:00"/>
    <n v="3398400"/>
    <n v="4020184"/>
    <n v="4020184"/>
    <s v="https://wellcometrust.lightning.force.com/lightning/r/Funding_Record__c/a2QQ5000000GOG8MAO/view"/>
    <m/>
  </r>
  <r>
    <s v="100891/Z/13/Z"/>
    <x v="2"/>
    <s v="Wellcome Trust - Cambridge Centre for Global Health Research"/>
    <s v="University of Cambridge"/>
    <s v="United Kingdom"/>
    <s v="UK"/>
    <s v="No"/>
    <m/>
    <x v="5"/>
    <x v="18"/>
    <x v="0"/>
    <x v="0"/>
    <d v="2013-09-16T00:00:00"/>
    <n v="769500"/>
    <n v="769500"/>
    <n v="769500"/>
    <s v="https://wellcometrust.lightning.force.com/lightning/r/Funding_Record__c/a2QQ5000000GW0kMAG/view"/>
    <m/>
  </r>
  <r>
    <s v="107742/Z/15/Z"/>
    <x v="2"/>
    <s v="THRIVE to Research Excellence (THRIVE-2)"/>
    <s v="Makerere University"/>
    <s v="Kenya"/>
    <s v="LMIC"/>
    <s v="No"/>
    <m/>
    <x v="5"/>
    <x v="18"/>
    <x v="0"/>
    <x v="0"/>
    <d v="2016-03-01T00:00:00"/>
    <n v="4764147"/>
    <n v="5583368"/>
    <n v="5583368"/>
    <s v="https://wellcometrust.lightning.force.com/lightning/r/Funding_Record__c/a2QQ5000000GP0iMAG/view"/>
    <m/>
  </r>
  <r>
    <s v="205222/Z/16/Z"/>
    <x v="2"/>
    <s v="Health and economic benefits of water-sensitive revitalisation in informal urban settlements"/>
    <s v="Monash University"/>
    <s v="Australia"/>
    <s v="HIC"/>
    <s v="No"/>
    <m/>
    <x v="5"/>
    <x v="18"/>
    <x v="0"/>
    <x v="0"/>
    <d v="2017-07-11T00:00:00"/>
    <n v="8472026"/>
    <n v="9080259"/>
    <n v="9080259"/>
    <s v="https://wellcometrust.lightning.force.com/lightning/r/Funding_Record__c/a2QQ5000000GSkkMAG/view"/>
    <m/>
  </r>
  <r>
    <s v="218632/Z/19/Z"/>
    <x v="2"/>
    <s v="Understanding the mechanisms linking cities to psychotic experiences across the lifespan"/>
    <s v="University of Bristol"/>
    <s v="United Kingdom"/>
    <s v="UK"/>
    <s v="No"/>
    <m/>
    <x v="5"/>
    <x v="18"/>
    <x v="0"/>
    <x v="0"/>
    <d v="2020-04-01T00:00:00"/>
    <n v="300000"/>
    <n v="300000"/>
    <n v="300000"/>
    <s v="https://wellcometrust.lightning.force.com/lightning/r/Funding_Record__c/a2QQ5000000GON7MAO/view"/>
    <m/>
  </r>
  <r>
    <s v="219169/Z/19/Z"/>
    <x v="2"/>
    <s v="SOCIAL SCIENCE IN HUMANITARIAN ACTION PLATFORM: EXPANDING CAPACITY AND REMIT"/>
    <s v="Institute of Development Studies"/>
    <s v="United Kingdom"/>
    <s v="UK"/>
    <s v="No"/>
    <m/>
    <x v="5"/>
    <x v="18"/>
    <x v="0"/>
    <x v="0"/>
    <d v="2020-01-27T00:00:00"/>
    <n v="2063517"/>
    <n v="2063517"/>
    <n v="2063517"/>
    <s v="https://wellcometrust.lightning.force.com/lightning/r/Funding_Record__c/a2QQ5000000GTknMAG/view"/>
    <m/>
  </r>
  <r>
    <s v="222180/Z/20/Z"/>
    <x v="2"/>
    <s v="The environmental sustainability of data-driven health research: a case-study of genomics and digital phenotyping in the UK"/>
    <s v="King's College London"/>
    <s v="United Kingdom"/>
    <s v="UK"/>
    <s v="No"/>
    <m/>
    <x v="5"/>
    <x v="18"/>
    <x v="0"/>
    <x v="2"/>
    <d v="2021-10-01T00:00:00"/>
    <n v="246265"/>
    <n v="246365"/>
    <n v="246365"/>
    <s v="https://wellcometrust.lightning.force.com/lightning/r/Funding_Record__c/a2QQ5000000GQRSMA4/view"/>
    <m/>
  </r>
  <r>
    <s v="079080/Z/06/Z"/>
    <x v="2"/>
    <s v="Malaria burden and control at national, regional and global scales."/>
    <s v="University of Oxford"/>
    <s v="United Kingdom"/>
    <s v="UK"/>
    <s v="No"/>
    <m/>
    <x v="5"/>
    <x v="18"/>
    <x v="0"/>
    <x v="0"/>
    <d v="2007-07-01T00:00:00"/>
    <n v="3416292"/>
    <n v="3416292"/>
    <n v="3416292"/>
    <s v="https://wellcometrust.lightning.force.com/lightning/r/Funding_Record__c/a2QQ5000000G6PXMA0/view"/>
    <m/>
  </r>
  <r>
    <s v="210758/Z/18/Z"/>
    <x v="2"/>
    <s v="Real-time modelling for forecasts during infectious disease outbreaks"/>
    <s v="London School of Hygiene and Tropical Medicine"/>
    <s v="United Kingdom"/>
    <s v="UK"/>
    <s v="No"/>
    <m/>
    <x v="5"/>
    <x v="18"/>
    <x v="0"/>
    <x v="0"/>
    <d v="2018-09-01T00:00:00"/>
    <n v="1614694"/>
    <n v="1614694"/>
    <n v="1614694"/>
    <s v="https://wellcometrust.lightning.force.com/lightning/r/Funding_Record__c/a2QQ5000000GICcMAO/view"/>
    <m/>
  </r>
  <r>
    <s v="056642/Z/99/Z"/>
    <x v="2"/>
    <s v="Forecasting malaria epidemics using remote sensing, population dynamics and geographic information systems (GIS)."/>
    <s v="University of Washington"/>
    <s v="USA"/>
    <s v="HIC"/>
    <s v="No"/>
    <m/>
    <x v="5"/>
    <x v="18"/>
    <x v="0"/>
    <x v="0"/>
    <d v="1999-09-01T00:00:00"/>
    <n v="167436"/>
    <n v="167436"/>
    <n v="167436"/>
    <s v="https://wellcometrust.lightning.force.com/lightning/r/Funding_Record__c/a2QQ5000000GLqjMAG/view"/>
    <m/>
  </r>
  <r>
    <s v="070696/Z/03/Z"/>
    <x v="2"/>
    <s v="Biological, iatrogenic and socio-political factors in the recent up-surge of tick-borne encephalitis and Lyme disease in the Baltic States."/>
    <s v="University of Oxford"/>
    <s v="United Kingdom"/>
    <s v="UK"/>
    <s v="No"/>
    <m/>
    <x v="5"/>
    <x v="18"/>
    <x v="0"/>
    <x v="0"/>
    <d v="2003-08-01T00:00:00"/>
    <n v="137210"/>
    <n v="137210"/>
    <n v="137210"/>
    <s v="https://wellcometrust.lightning.force.com/lightning/r/Funding_Record__c/a2QQ5000000GaYZMA0/view"/>
    <m/>
  </r>
  <r>
    <s v="081673/Z/06/Z"/>
    <x v="2"/>
    <s v="The epidemiology, spatial ecology and transmission dynamics of co-infection with Plasmodium falciparum and hookworm in East Africa"/>
    <s v="London School of Hygiene and Tropical Medicine"/>
    <s v="United Kingdom"/>
    <s v="UK"/>
    <s v="No"/>
    <m/>
    <x v="5"/>
    <x v="18"/>
    <x v="0"/>
    <x v="0"/>
    <d v="2007-08-01T00:00:00"/>
    <n v="822394"/>
    <n v="848347"/>
    <n v="848347"/>
    <s v="https://wellcometrust.lightning.force.com/lightning/r/Funding_Record__c/a2QQ5000000GReFMAW/view"/>
    <m/>
  </r>
  <r>
    <s v="103602/Z/14/Z"/>
    <x v="2"/>
    <s v="The malaria transition in East Africa."/>
    <s v="University of Oxford"/>
    <s v="United Kingdom"/>
    <s v="UK"/>
    <s v="No"/>
    <m/>
    <x v="5"/>
    <x v="18"/>
    <x v="0"/>
    <x v="0"/>
    <d v="2014-07-01T00:00:00"/>
    <n v="2078961"/>
    <n v="2078961"/>
    <n v="2078961"/>
    <s v="https://wellcometrust.lightning.force.com/lightning/r/Funding_Record__c/a2QQ5000000GaOoMAK/view"/>
    <m/>
  </r>
  <r>
    <s v="106854/Z/15/Z"/>
    <x v="2"/>
    <s v="Linking Health and Environmental Outcomes to Dietary Behaviours in the United States"/>
    <s v="Tulane University"/>
    <s v="USA"/>
    <s v="HIC"/>
    <s v="No"/>
    <m/>
    <x v="5"/>
    <x v="18"/>
    <x v="0"/>
    <x v="0"/>
    <d v="2015-09-01T00:00:00"/>
    <n v="406701"/>
    <n v="408340"/>
    <n v="408340"/>
    <s v="https://wellcometrust.lightning.force.com/lightning/r/Funding_Record__c/a2QQ5000000GJPHMA4/view"/>
    <m/>
  </r>
  <r>
    <s v="213494/Z/18/Z"/>
    <x v="2"/>
    <s v="Spatiotemporal dynamics of arbovirus transmission: implications for disease control and elimination"/>
    <s v="Imperial College London"/>
    <s v="United Kingdom"/>
    <s v="UK"/>
    <s v="No"/>
    <m/>
    <x v="5"/>
    <x v="18"/>
    <x v="0"/>
    <x v="0"/>
    <d v="2019-09-01T00:00:00"/>
    <n v="1174581"/>
    <n v="1174581"/>
    <n v="1174581"/>
    <s v="https://wellcometrust.lightning.force.com/lightning/r/Funding_Record__c/a2QQ5000000GPN7MAO/view"/>
    <m/>
  </r>
  <r>
    <s v="107769/Z/15/Z"/>
    <x v="2"/>
    <s v="Initiative to Develop African Research Leaders (IDeAL)"/>
    <s v="Kenya Medical Research Institute"/>
    <s v="Kenya"/>
    <s v="LMIC"/>
    <s v="No"/>
    <m/>
    <x v="5"/>
    <x v="18"/>
    <x v="0"/>
    <x v="0"/>
    <d v="2016-01-01T00:00:00"/>
    <n v="10497423"/>
    <n v="10497423"/>
    <n v="10497423"/>
    <s v="https://wellcometrust.lightning.force.com/lightning/r/Funding_Record__c/a2QQ5000000GBZWMA4/view"/>
    <m/>
  </r>
  <r>
    <s v="106866/Z/15/Z"/>
    <x v="2"/>
    <s v="Seasonal drivers of human movement and aggregation in a changing climate: consequences for infectious disease dynamics and control"/>
    <s v="Princeton University"/>
    <s v="USA"/>
    <s v="HIC"/>
    <s v="No"/>
    <m/>
    <x v="5"/>
    <x v="18"/>
    <x v="0"/>
    <x v="0"/>
    <d v="2015-07-01T00:00:00"/>
    <n v="403201"/>
    <n v="403201"/>
    <n v="403201"/>
    <s v="https://wellcometrust.lightning.force.com/lightning/r/Funding_Record__c/a2QQ5000000GUUeMAO/view"/>
    <m/>
  </r>
  <r>
    <s v="106924/Z/15/Z"/>
    <x v="2"/>
    <s v="Future diets and health: how will environmental changes affect food availability, food consumption and health"/>
    <s v="London School of Hygiene and Tropical Medicine"/>
    <s v="United Kingdom"/>
    <s v="UK"/>
    <s v="No"/>
    <m/>
    <x v="5"/>
    <x v="18"/>
    <x v="0"/>
    <x v="0"/>
    <d v="2016-03-07T00:00:00"/>
    <n v="415166"/>
    <n v="415166"/>
    <n v="415166"/>
    <s v="https://wellcometrust.lightning.force.com/lightning/r/Funding_Record__c/a2QQ5000000GMABMA4/view"/>
    <m/>
  </r>
  <r>
    <s v="215022/Z/18/Z"/>
    <x v="2"/>
    <s v="Designing a Planetary Health Watch: Transdisciplinary Stakeholder Engagement"/>
    <s v="London School of Hygiene and Tropical Medicine"/>
    <s v="United Kingdom"/>
    <s v="UK"/>
    <s v="No"/>
    <m/>
    <x v="5"/>
    <x v="18"/>
    <x v="0"/>
    <x v="0"/>
    <d v="2019-02-18T00:00:00"/>
    <n v="99632"/>
    <n v="99632"/>
    <n v="99632"/>
    <s v="https://wellcometrust.lightning.force.com/lightning/r/Funding_Record__c/a2QQ5000000GJYtMAO/view"/>
    <m/>
  </r>
  <r>
    <s v="103932/Z/14/Z"/>
    <x v="2"/>
    <s v="Health and environmental implications of low-carbon, climate-change resilient diets in India"/>
    <s v="London School of Hygiene and Tropical Medicine"/>
    <s v="United Kingdom"/>
    <s v="UK"/>
    <s v="No"/>
    <m/>
    <x v="5"/>
    <x v="18"/>
    <x v="0"/>
    <x v="0"/>
    <d v="2014-11-01T00:00:00"/>
    <n v="233526"/>
    <n v="425794"/>
    <n v="425794"/>
    <s v="https://wellcometrust.lightning.force.com/lightning/r/Funding_Record__c/a2QQ5000000GSLUMA4/view"/>
    <m/>
  </r>
  <r>
    <s v="079091/Z/06/Z"/>
    <x v="2"/>
    <s v="Environmental change and the epidemiology of Plasmodium falciparum malaria in Africa: 2005 - 2030."/>
    <s v="University of Oxford"/>
    <s v="United Kingdom"/>
    <s v="UK"/>
    <s v="No"/>
    <m/>
    <x v="5"/>
    <x v="18"/>
    <x v="0"/>
    <x v="0"/>
    <d v="2006-12-01T00:00:00"/>
    <n v="1148138"/>
    <n v="1148138"/>
    <n v="1148138"/>
    <s v="https://wellcometrust.lightning.force.com/lightning/r/Funding_Record__c/a2QQ5000000GRvdMAG/view"/>
    <m/>
  </r>
  <r>
    <s v="076583/Z/05/Z"/>
    <x v="2"/>
    <s v="The impacts of heat-waves on mortality."/>
    <s v="London School of Hygiene and Tropical Medicine"/>
    <s v="United Kingdom"/>
    <s v="UK"/>
    <s v="No"/>
    <m/>
    <x v="5"/>
    <x v="18"/>
    <x v="0"/>
    <x v="0"/>
    <d v="2006-01-01T00:00:00"/>
    <n v="274957"/>
    <n v="274957"/>
    <n v="274957"/>
    <s v="https://wellcometrust.lightning.force.com/lightning/r/Funding_Record__c/a2QQ5000000GJwfMAG/view"/>
    <m/>
  </r>
  <r>
    <s v="205207/Z/16/Z"/>
    <x v="2"/>
    <s v="Complex Urban Systems for Sustainability and Health (CUSSH)"/>
    <s v="University College London"/>
    <s v="United Kingdom"/>
    <s v="UK"/>
    <s v="No"/>
    <m/>
    <x v="5"/>
    <x v="18"/>
    <x v="0"/>
    <x v="0"/>
    <d v="2016-12-08T00:00:00"/>
    <n v="149988"/>
    <n v="149988"/>
    <n v="149988"/>
    <s v="https://wellcometrust.lightning.force.com/lightning/r/Funding_Record__c/a2QQ5000000GKIaMAO/view"/>
    <m/>
  </r>
  <r>
    <s v="218743/Z/19/Z"/>
    <x v="2"/>
    <s v="Does household food biodiversity protect adults against malnutrition and favour the resilience of Shawi Indigenous households to climate change related events?"/>
    <s v="Cayetano Heredia University"/>
    <s v="Peru"/>
    <s v="LMIC"/>
    <s v="No"/>
    <m/>
    <x v="5"/>
    <x v="18"/>
    <x v="0"/>
    <x v="0"/>
    <d v="2020-01-01T00:00:00"/>
    <n v="307623"/>
    <n v="307623"/>
    <n v="307623"/>
    <s v="https://wellcometrust.lightning.force.com/lightning/r/Funding_Record__c/a2QQ5000000GImBMAW/view"/>
    <m/>
  </r>
  <r>
    <s v="205177/Z/16/Z"/>
    <x v="2"/>
    <s v="What makes cities healthy, equitable, and environmentally sustainable? Lessons from Latin America"/>
    <s v="Drexel University"/>
    <s v="USA"/>
    <s v="HIC"/>
    <s v="No"/>
    <m/>
    <x v="5"/>
    <x v="18"/>
    <x v="0"/>
    <x v="0"/>
    <d v="2017-04-01T00:00:00"/>
    <n v="9385397"/>
    <n v="9385397"/>
    <n v="9385397"/>
    <s v="https://wellcometrust.lightning.force.com/lightning/r/Funding_Record__c/a2QQ5000000GSdNMAW/view"/>
    <m/>
  </r>
  <r>
    <s v="216014/Z/19/Z"/>
    <x v="2"/>
    <s v="Evaluating Health Impacts of Climate Adaptation Strategies"/>
    <s v="University of Exeter"/>
    <s v="United Kingdom"/>
    <s v="UK"/>
    <s v="No"/>
    <m/>
    <x v="5"/>
    <x v="18"/>
    <x v="0"/>
    <x v="0"/>
    <d v="2019-10-01T00:00:00"/>
    <n v="499529"/>
    <n v="499529"/>
    <n v="499529"/>
    <s v="https://wellcometrust.lightning.force.com/lightning/r/Funding_Record__c/a2QQ5000000GE88MAG/view"/>
    <m/>
  </r>
  <r>
    <s v="216033-Z-19-Z"/>
    <x v="2"/>
    <s v="Evaluation of Municipal Heat Action Plans (HAPs) in the United States"/>
    <s v="Boston University"/>
    <s v="USA"/>
    <s v="HIC"/>
    <s v="No"/>
    <m/>
    <x v="5"/>
    <x v="18"/>
    <x v="0"/>
    <x v="0"/>
    <d v="2023-04-01T00:00:00"/>
    <n v="483105"/>
    <n v="483015"/>
    <n v="483015"/>
    <s v="https://wellcometrust.lightning.force.com/lightning/r/Funding_Record__c/a2QQ5000000GIkSMAW/view"/>
    <m/>
  </r>
  <r>
    <s v="106871/Z/15/Z"/>
    <x v="2"/>
    <s v="Health impacts of a climate change adaptation strategy to address drinking-water salinity in coastal Bangladesh"/>
    <s v="International Centre for Diarrhoeal Research"/>
    <s v="Bangladesh"/>
    <s v="LMIC"/>
    <s v="No"/>
    <m/>
    <x v="5"/>
    <x v="18"/>
    <x v="0"/>
    <x v="0"/>
    <d v="2016-03-01T00:00:00"/>
    <n v="360979"/>
    <n v="360979"/>
    <n v="360979"/>
    <s v="https://wellcometrust.lightning.force.com/lightning/r/Funding_Record__c/a2QQ5000000GNicMAG/view"/>
    <m/>
  </r>
  <r>
    <s v="200890/Z/16/Z"/>
    <x v="2"/>
    <s v="The Countdown to 2030: Global Health and Climate Action"/>
    <s v="University College London"/>
    <s v="United Kingdom"/>
    <s v="UK"/>
    <s v="No"/>
    <m/>
    <x v="5"/>
    <x v="18"/>
    <x v="0"/>
    <x v="0"/>
    <d v="2015-12-01T00:00:00"/>
    <n v="499186"/>
    <n v="499186"/>
    <n v="499186"/>
    <s v="https://wellcometrust.lightning.force.com/lightning/r/Funding_Record__c/a2QQ5000000G8B1MAK/view"/>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A82AB81-B687-450E-879B-929BC4D8353E}"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9" firstHeaderRow="0" firstDataRow="1" firstDataCol="1" rowPageCount="1" colPageCount="1"/>
  <pivotFields count="18">
    <pivotField dataField="1" showAll="0"/>
    <pivotField axis="axisPage" showAll="0">
      <items count="4">
        <item x="0"/>
        <item x="2"/>
        <item x="1"/>
        <item t="default"/>
      </items>
    </pivotField>
    <pivotField showAll="0"/>
    <pivotField showAll="0"/>
    <pivotField showAll="0"/>
    <pivotField showAll="0"/>
    <pivotField showAll="0"/>
    <pivotField showAll="0"/>
    <pivotField showAll="0">
      <items count="7">
        <item x="1"/>
        <item x="3"/>
        <item x="4"/>
        <item x="2"/>
        <item x="0"/>
        <item x="5"/>
        <item t="default"/>
      </items>
    </pivotField>
    <pivotField showAll="0">
      <items count="20">
        <item x="14"/>
        <item x="16"/>
        <item x="9"/>
        <item x="13"/>
        <item x="11"/>
        <item x="10"/>
        <item x="17"/>
        <item x="12"/>
        <item x="6"/>
        <item x="15"/>
        <item x="3"/>
        <item x="8"/>
        <item x="7"/>
        <item x="4"/>
        <item x="1"/>
        <item x="5"/>
        <item x="2"/>
        <item x="0"/>
        <item x="18"/>
        <item t="default"/>
      </items>
    </pivotField>
    <pivotField showAll="0">
      <items count="6">
        <item x="2"/>
        <item x="1"/>
        <item x="4"/>
        <item x="3"/>
        <item x="0"/>
        <item t="default"/>
      </items>
    </pivotField>
    <pivotField axis="axisRow" showAll="0">
      <items count="6">
        <item x="2"/>
        <item x="4"/>
        <item x="3"/>
        <item x="0"/>
        <item x="1"/>
        <item t="default"/>
      </items>
    </pivotField>
    <pivotField showAll="0"/>
    <pivotField showAll="0"/>
    <pivotField showAll="0"/>
    <pivotField dataField="1" numFmtId="166" showAll="0"/>
    <pivotField showAll="0"/>
    <pivotField showAll="0"/>
  </pivotFields>
  <rowFields count="1">
    <field x="11"/>
  </rowFields>
  <rowItems count="6">
    <i>
      <x/>
    </i>
    <i>
      <x v="1"/>
    </i>
    <i>
      <x v="2"/>
    </i>
    <i>
      <x v="3"/>
    </i>
    <i>
      <x v="4"/>
    </i>
    <i t="grand">
      <x/>
    </i>
  </rowItems>
  <colFields count="1">
    <field x="-2"/>
  </colFields>
  <colItems count="2">
    <i>
      <x/>
    </i>
    <i i="1">
      <x v="1"/>
    </i>
  </colItems>
  <pageFields count="1">
    <pageField fld="1" item="0" hier="-1"/>
  </pageFields>
  <dataFields count="2">
    <dataField name="Count of Grant Reference" fld="0" subtotal="count" baseField="0" baseItem="0"/>
    <dataField name="Sum of Award value"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I60" dT="2024-06-13T16:05:13.49" personId="{F4B76944-4267-4CB6-8A92-0567974A2C5A}" id="{73507AB4-B319-461E-AA1C-A9DEA5070D05}">
    <text xml:space="preserve">@Melina Galdos I labelled these as adaptation but maybe we should label as field building instead, not sure what we decided?
</text>
    <mentions>
      <mention mentionpersonId="{E1E67A8F-48FF-41AE-834B-816F8750179A}" mentionId="{626C216A-E488-4240-BEE6-C629E2230066}" startIndex="0" length="14"/>
    </mentions>
  </threadedComment>
  <threadedComment ref="I60" dT="2024-06-13T16:23:43.61" personId="{F9E807FF-5987-4888-AF8B-2D8ACA10FD93}" id="{497A4993-0EEA-4BE5-A4F0-99F50E7EB885}" parentId="{73507AB4-B319-461E-AA1C-A9DEA5070D05}">
    <text xml:space="preserve">Hi Sarah! I think they should be labelled as "Adaptation" because the tag is more relevant to the area of interest and the purpose of this call. While it's true that the cohort is managed by CFD, I'm not sure if that is the tag we need. Please let me know if I'm mistaken. </text>
  </threadedComment>
</ThreadedComments>
</file>

<file path=xl/threadedComments/threadedComment2.xml><?xml version="1.0" encoding="utf-8"?>
<ThreadedComments xmlns="http://schemas.microsoft.com/office/spreadsheetml/2018/threadedcomments" xmlns:x="http://schemas.openxmlformats.org/spreadsheetml/2006/main">
  <threadedComment ref="L60" dT="2024-06-13T16:05:13.49" personId="{F4B76944-4267-4CB6-8A92-0567974A2C5A}" id="{B72F82F4-D7D9-4C42-AA9F-3485004DFC54}">
    <text xml:space="preserve">@Melina Galdos I labelled these as adaptation but maybe we should label as field building instead, not sure what we decided?
</text>
    <mentions>
      <mention mentionpersonId="{E1E67A8F-48FF-41AE-834B-816F8750179A}" mentionId="{7B60D97E-F2C6-4289-A224-ADA1B8BF6882}" startIndex="0" length="14"/>
    </mentions>
  </threadedComment>
  <threadedComment ref="L60" dT="2024-06-13T16:23:43.61" personId="{F9E807FF-5987-4888-AF8B-2D8ACA10FD93}" id="{ED6D518F-CAEB-44A3-9AC0-465DBDAF14CD}" parentId="{B72F82F4-D7D9-4C42-AA9F-3485004DFC54}">
    <text xml:space="preserve">Hi Sarah! I think they should be labelled as "Adaptation" because the tag is more relevant to the area of interest and the purpose of this call. While it's true that the cohort is managed by CFD, I'm not sure if that is the tag we need. Please let me know if I'm mistaken. </text>
  </threadedComment>
</ThreadedComment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17" Type="http://schemas.openxmlformats.org/officeDocument/2006/relationships/hyperlink" Target="https://wellcometrust.lightning.force.com/lightning/r/Funding_Record__c/a2QQ5000000G6I8MAK/view" TargetMode="External"/><Relationship Id="rId21" Type="http://schemas.openxmlformats.org/officeDocument/2006/relationships/hyperlink" Target="https://wellcome.dimensions.ai/details/grant/grant.3637732?search_mode=content&amp;search_text=Wellcome%20Trust%20084538&amp;search_type=kws&amp;search_field=full_search" TargetMode="External"/><Relationship Id="rId42" Type="http://schemas.openxmlformats.org/officeDocument/2006/relationships/hyperlink" Target="https://wellcome.dimensions.ai/details/grant/grant.4580279?search_mode=content&amp;search_text=106866%2FZ%2F15%2FZ&amp;search_type=kws&amp;search_field=full_search" TargetMode="External"/><Relationship Id="rId63" Type="http://schemas.openxmlformats.org/officeDocument/2006/relationships/hyperlink" Target="https://wellcometrust.lightning.force.com/lightning/r/Funding_Record__c/a2QQ5000000G8l6MAC/view" TargetMode="External"/><Relationship Id="rId84" Type="http://schemas.openxmlformats.org/officeDocument/2006/relationships/hyperlink" Target="https://wellcometrust.lightning.force.com/lightning/r/Funding_Record__c/a2QQ5000000GVmmMAG/view" TargetMode="External"/><Relationship Id="rId138" Type="http://schemas.openxmlformats.org/officeDocument/2006/relationships/hyperlink" Target="https://wellcometrust.lightning.force.com/lightning/r/Funding_Record__c/a2QQ5000000GM3qMAG/view" TargetMode="External"/><Relationship Id="rId159" Type="http://schemas.openxmlformats.org/officeDocument/2006/relationships/hyperlink" Target="https://wellcometrust.lightning.force.com/lightning/r/Funding_Record__c/a2QQ5000000GSkkMAG/view" TargetMode="External"/><Relationship Id="rId170" Type="http://schemas.openxmlformats.org/officeDocument/2006/relationships/hyperlink" Target="https://wellcometrust.lightning.force.com/lightning/r/Funding_Record__c/a2QQ50000013rFJMAY/view" TargetMode="External"/><Relationship Id="rId191" Type="http://schemas.openxmlformats.org/officeDocument/2006/relationships/hyperlink" Target="https://wellcometrust.lightning.force.com/lightning/r/Funding_Record__c/a2QQ5000000GK5CMAW/view" TargetMode="External"/><Relationship Id="rId205" Type="http://schemas.openxmlformats.org/officeDocument/2006/relationships/hyperlink" Target="https://wellcometrust.lightning.force.com/lightning/r/Funding_Record__c/a2QQ5000000GDEiMAO/view" TargetMode="External"/><Relationship Id="rId226" Type="http://schemas.openxmlformats.org/officeDocument/2006/relationships/hyperlink" Target="https://wellcometrust.lightning.force.com/lightning/r/Funding_Record__c/a2QQ5000000GSkkMAG/view" TargetMode="External"/><Relationship Id="rId247" Type="http://schemas.openxmlformats.org/officeDocument/2006/relationships/hyperlink" Target="https://wellcometrust.lightning.force.com/lightning/r/Funding_Record__c/a2QQ5000000GSdNMAW/view" TargetMode="External"/><Relationship Id="rId107" Type="http://schemas.openxmlformats.org/officeDocument/2006/relationships/hyperlink" Target="https://wellcometrust.lightning.force.com/lightning/r/Funding_Record__c/a2QQ5000000GDIGMA4/view" TargetMode="External"/><Relationship Id="rId11" Type="http://schemas.openxmlformats.org/officeDocument/2006/relationships/hyperlink" Target="https://wellcome.dimensions.ai/details/grant/grant.3627306?search_mode=content&amp;search_text=Wellcome%20Trust%20072465%2FZ%2F03%2FZ&amp;search_type=kws&amp;search_field=full_search" TargetMode="External"/><Relationship Id="rId32" Type="http://schemas.openxmlformats.org/officeDocument/2006/relationships/hyperlink" Target="https://wellcome.dimensions.ai/details/grant/grant.3629072?search_mode=content&amp;search_text=Wellcome%20Trust%20081673&amp;search_type=kws&amp;search_field=full_search" TargetMode="External"/><Relationship Id="rId53" Type="http://schemas.openxmlformats.org/officeDocument/2006/relationships/hyperlink" Target="https://wellcometrust.lightning.force.com/lightning/r/Funding_Record__c/a2QQ5000000GCIyMAO/view" TargetMode="External"/><Relationship Id="rId74" Type="http://schemas.openxmlformats.org/officeDocument/2006/relationships/hyperlink" Target="https://wellcometrust.lightning.force.com/lightning/r/Funding_Record__c/a2QQ5000000G5uoMAC/view" TargetMode="External"/><Relationship Id="rId128" Type="http://schemas.openxmlformats.org/officeDocument/2006/relationships/hyperlink" Target="https://wellcometrust.lightning.force.com/lightning/r/Funding_Record__c/a2QQ5000000GXquMAG/view" TargetMode="External"/><Relationship Id="rId149" Type="http://schemas.openxmlformats.org/officeDocument/2006/relationships/hyperlink" Target="https://wellcometrust.lightning.force.com/lightning/r/Funding_Record__c/a2QQ5000000GMudMAG/view" TargetMode="External"/><Relationship Id="rId5" Type="http://schemas.openxmlformats.org/officeDocument/2006/relationships/hyperlink" Target="https://wellcome.dimensions.ai/details/grant/grant.7159274?search_mode=content&amp;search_text=Wellcome%20Trust%20205222%2FZ%2F16%2FZ&amp;search_type=kws&amp;search_field=full_search" TargetMode="External"/><Relationship Id="rId95" Type="http://schemas.openxmlformats.org/officeDocument/2006/relationships/hyperlink" Target="https://wellcometrust.lightning.force.com/lightning/r/Funding_Record__c/a2QQ5000000GSRYMA4/view" TargetMode="External"/><Relationship Id="rId160" Type="http://schemas.openxmlformats.org/officeDocument/2006/relationships/hyperlink" Target="https://wellcometrust.lightning.force.com/lightning/r/Funding_Record__c/a2QQ5000000GM2pMAG/view" TargetMode="External"/><Relationship Id="rId181" Type="http://schemas.openxmlformats.org/officeDocument/2006/relationships/hyperlink" Target="https://wellcometrust.lightning.force.com/lightning/r/Funding_Record__c/a2QQ5000000GLpmMAG/view" TargetMode="External"/><Relationship Id="rId216" Type="http://schemas.openxmlformats.org/officeDocument/2006/relationships/hyperlink" Target="https://wellcometrust.lightning.force.com/lightning/r/Funding_Record__c/a2QQ5000000GQc9MAG/view" TargetMode="External"/><Relationship Id="rId237" Type="http://schemas.openxmlformats.org/officeDocument/2006/relationships/hyperlink" Target="https://wellcometrust.lightning.force.com/lightning/r/Funding_Record__c/a2QQ5000000GPN7MAO/view" TargetMode="External"/><Relationship Id="rId22" Type="http://schemas.openxmlformats.org/officeDocument/2006/relationships/hyperlink" Target="https://wellcome.dimensions.ai/details/grant/grant.8103170?search_mode=content&amp;search_text=Wellcome%20Trust%20210794%2FZ%2F18%2FZ&amp;search_type=kws&amp;search_field=full_search" TargetMode="External"/><Relationship Id="rId43" Type="http://schemas.openxmlformats.org/officeDocument/2006/relationships/hyperlink" Target="https://wellcome.dimensions.ai/details/grant/grant.8103168?search_mode=content&amp;search_text=210758%2FZ%2F18%2FZ&amp;search_type=kws&amp;search_field=full_search" TargetMode="External"/><Relationship Id="rId64" Type="http://schemas.openxmlformats.org/officeDocument/2006/relationships/hyperlink" Target="https://wellcometrust.lightning.force.com/lightning/r/Funding_Record__c/a2QQ5000000GK16MAG/view" TargetMode="External"/><Relationship Id="rId118" Type="http://schemas.openxmlformats.org/officeDocument/2006/relationships/hyperlink" Target="https://wellcometrust.lightning.force.com/lightning/r/Funding_Record__c/a2QQ5000000G6sBMAS/view" TargetMode="External"/><Relationship Id="rId139" Type="http://schemas.openxmlformats.org/officeDocument/2006/relationships/hyperlink" Target="https://wellcometrust.lightning.force.com/lightning/r/Funding_Record__c/a2QQ5000000GAmEMAW/view" TargetMode="External"/><Relationship Id="rId85" Type="http://schemas.openxmlformats.org/officeDocument/2006/relationships/hyperlink" Target="https://wellcometrust.lightning.force.com/lightning/r/Funding_Record__c/a2QQ5000000GMpqMAG/view" TargetMode="External"/><Relationship Id="rId150" Type="http://schemas.openxmlformats.org/officeDocument/2006/relationships/hyperlink" Target="https://wellcometrust.lightning.force.com/lightning/r/Funding_Record__c/a2QQ5000000G9mEMAS/view" TargetMode="External"/><Relationship Id="rId171" Type="http://schemas.openxmlformats.org/officeDocument/2006/relationships/hyperlink" Target="https://wellcometrust.lightning.force.com/lightning/r/Funding_Record__c/a2QQ5000000zm2vMAA/view" TargetMode="External"/><Relationship Id="rId192" Type="http://schemas.openxmlformats.org/officeDocument/2006/relationships/hyperlink" Target="https://wellcometrust.lightning.force.com/lightning/r/Funding_Record__c/a2QQ5000000G9zkMAC/view" TargetMode="External"/><Relationship Id="rId206" Type="http://schemas.openxmlformats.org/officeDocument/2006/relationships/hyperlink" Target="https://wellcometrust.lightning.force.com/lightning/r/Funding_Record__c/a2QQ5000000GNzNMAW/view" TargetMode="External"/><Relationship Id="rId227" Type="http://schemas.openxmlformats.org/officeDocument/2006/relationships/hyperlink" Target="https://wellcometrust.lightning.force.com/lightning/r/Funding_Record__c/a2QQ5000000GON7MAO/view" TargetMode="External"/><Relationship Id="rId248" Type="http://schemas.openxmlformats.org/officeDocument/2006/relationships/hyperlink" Target="https://wellcometrust.lightning.force.com/lightning/r/Funding_Record__c/a2QQ5000000GE88MAG/view" TargetMode="External"/><Relationship Id="rId12" Type="http://schemas.openxmlformats.org/officeDocument/2006/relationships/hyperlink" Target="https://wellcome.dimensions.ai/details/grant/grant.3633056?search_mode=content&amp;search_text=Wellcome%20Trust%20033340&amp;search_type=kws&amp;search_field=full_search" TargetMode="External"/><Relationship Id="rId33" Type="http://schemas.openxmlformats.org/officeDocument/2006/relationships/hyperlink" Target="https://wellcome.dimensions.ai/details/grant/grant.3632956?search_mode=content&amp;search_text=Wellcome%20Trust%20077092&amp;search_type=kws&amp;search_field=full_search" TargetMode="External"/><Relationship Id="rId108" Type="http://schemas.openxmlformats.org/officeDocument/2006/relationships/hyperlink" Target="https://wellcometrust.lightning.force.com/lightning/r/Funding_Record__c/a2QQ5000000MK05MAG/view" TargetMode="External"/><Relationship Id="rId129" Type="http://schemas.openxmlformats.org/officeDocument/2006/relationships/hyperlink" Target="https://wellcometrust.lightning.force.com/lightning/r/Funding_Record__c/a2QQ5000000GXYSMA4/view" TargetMode="External"/><Relationship Id="rId54" Type="http://schemas.openxmlformats.org/officeDocument/2006/relationships/hyperlink" Target="https://wellcometrust.lightning.force.com/lightning/r/Funding_Record__c/a2QQ5000000GH9XMAW/view" TargetMode="External"/><Relationship Id="rId75" Type="http://schemas.openxmlformats.org/officeDocument/2006/relationships/hyperlink" Target="https://wellcometrust.lightning.force.com/lightning/r/Funding_Record__c/a2QQ5000000FvOIMA0/view" TargetMode="External"/><Relationship Id="rId96" Type="http://schemas.openxmlformats.org/officeDocument/2006/relationships/hyperlink" Target="https://wellcometrust.lightning.force.com/lightning/r/Funding_Record__c/a2QQ5000000GUyvMAG/view" TargetMode="External"/><Relationship Id="rId140" Type="http://schemas.openxmlformats.org/officeDocument/2006/relationships/hyperlink" Target="https://wellcometrust.lightning.force.com/lightning/r/Funding_Record__c/a2QQ5000000GE88MAG/view" TargetMode="External"/><Relationship Id="rId161" Type="http://schemas.openxmlformats.org/officeDocument/2006/relationships/hyperlink" Target="https://wellcometrust.lightning.force.com/lightning/r/Funding_Record__c/a2QQ5000000G63dMAC/view" TargetMode="External"/><Relationship Id="rId182" Type="http://schemas.openxmlformats.org/officeDocument/2006/relationships/hyperlink" Target="https://wellcometrust.lightning.force.com/lightning/r/Funding_Record__c/a2QQ5000000GFlxMAG/view" TargetMode="External"/><Relationship Id="rId217" Type="http://schemas.openxmlformats.org/officeDocument/2006/relationships/hyperlink" Target="https://wellcometrust.lightning.force.com/lightning/r/Funding_Record__c/a2QQ5000000Ga5qMAC/view" TargetMode="External"/><Relationship Id="rId6" Type="http://schemas.openxmlformats.org/officeDocument/2006/relationships/hyperlink" Target="https://wellcome.dimensions.ai/details/grant/grant.6665177?search_mode=content&amp;search_text=Wellcome%20Trust%20107742%2FZ%2F15%2FZ&amp;search_type=kws&amp;search_field=full_search" TargetMode="External"/><Relationship Id="rId238" Type="http://schemas.openxmlformats.org/officeDocument/2006/relationships/hyperlink" Target="https://wellcometrust.lightning.force.com/lightning/r/Funding_Record__c/a2QQ5000000GBZWMA4/view" TargetMode="External"/><Relationship Id="rId23" Type="http://schemas.openxmlformats.org/officeDocument/2006/relationships/hyperlink" Target="https://wellcome.dimensions.ai/details/grant/grant.4580498?search_mode=content&amp;search_text=Wellcome%20Trust%20106854%2FZ%2F15%2FZ&amp;search_type=kws&amp;search_field=full_search" TargetMode="External"/><Relationship Id="rId119" Type="http://schemas.openxmlformats.org/officeDocument/2006/relationships/hyperlink" Target="https://wellcometrust.lightning.force.com/lightning/r/Funding_Record__c/a2QQ5000000GRqWMAW/view" TargetMode="External"/><Relationship Id="rId44" Type="http://schemas.openxmlformats.org/officeDocument/2006/relationships/hyperlink" Target="https://wellcome.dimensions.ai/details/grant/grant.3634146?search_mode=content&amp;search_text=079091&amp;search_type=kws&amp;search_field=full_search" TargetMode="External"/><Relationship Id="rId65" Type="http://schemas.openxmlformats.org/officeDocument/2006/relationships/hyperlink" Target="https://wellcometrust.lightning.force.com/lightning/r/Funding_Record__c/a2QQ5000000GJc4MAG/view" TargetMode="External"/><Relationship Id="rId86" Type="http://schemas.openxmlformats.org/officeDocument/2006/relationships/hyperlink" Target="https://wellcometrust.lightning.force.com/lightning/r/Funding_Record__c/a2QQ5000000GD3FMAW/view" TargetMode="External"/><Relationship Id="rId130" Type="http://schemas.openxmlformats.org/officeDocument/2006/relationships/hyperlink" Target="https://wellcometrust.lightning.force.com/lightning/r/Funding_Record__c/a2QQ5000000GGaJMAW/view" TargetMode="External"/><Relationship Id="rId151" Type="http://schemas.openxmlformats.org/officeDocument/2006/relationships/hyperlink" Target="https://wellcometrust.lightning.force.com/lightning/r/Funding_Record__c/a2QQ5000000GUOVMA4/view" TargetMode="External"/><Relationship Id="rId172" Type="http://schemas.openxmlformats.org/officeDocument/2006/relationships/hyperlink" Target="https://wellcometrust.lightning.force.com/lightning/r/Funding_Record__c/a2QQ5000000zcgHMAQ/view" TargetMode="External"/><Relationship Id="rId193" Type="http://schemas.openxmlformats.org/officeDocument/2006/relationships/hyperlink" Target="https://wellcometrust.lightning.force.com/lightning/r/Funding_Record__c/a2QQ5000000GUJsMAO/view" TargetMode="External"/><Relationship Id="rId207" Type="http://schemas.openxmlformats.org/officeDocument/2006/relationships/hyperlink" Target="https://wellcometrust.lightning.force.com/lightning/r/Funding_Record__c/a2QQ5000000GSMNMA4/view" TargetMode="External"/><Relationship Id="rId228" Type="http://schemas.openxmlformats.org/officeDocument/2006/relationships/hyperlink" Target="https://wellcometrust.lightning.force.com/lightning/r/Funding_Record__c/a2QQ5000000GTknMAG/view" TargetMode="External"/><Relationship Id="rId249" Type="http://schemas.openxmlformats.org/officeDocument/2006/relationships/hyperlink" Target="https://wellcometrust.lightning.force.com/lightning/r/Funding_Record__c/a2QQ5000000GIkSMAW/view" TargetMode="External"/><Relationship Id="rId13" Type="http://schemas.openxmlformats.org/officeDocument/2006/relationships/hyperlink" Target="https://wellcome.dimensions.ai/details/grant/grant.10029249?search_mode=content&amp;search_text=Wellcome%20Trust%20216033-Z-19-Z&amp;search_type=kws&amp;search_field=full_search" TargetMode="External"/><Relationship Id="rId109" Type="http://schemas.openxmlformats.org/officeDocument/2006/relationships/hyperlink" Target="https://wellcometrust.lightning.force.com/lightning/r/Funding_Record__c/a2QQ5000000GNjqMAG/view" TargetMode="External"/><Relationship Id="rId34" Type="http://schemas.openxmlformats.org/officeDocument/2006/relationships/hyperlink" Target="https://wellcome.dimensions.ai/details/grant/grant.3627577?search_mode=content&amp;search_text=Wellcome%20Trust%20070696%2FZ%2F03%2FZ&amp;search_type=kws&amp;search_field=full_search" TargetMode="External"/><Relationship Id="rId55" Type="http://schemas.openxmlformats.org/officeDocument/2006/relationships/hyperlink" Target="https://wellcometrust.lightning.force.com/lightning/r/Funding_Record__c/a2QQ5000000G8kcMAC/view" TargetMode="External"/><Relationship Id="rId76" Type="http://schemas.openxmlformats.org/officeDocument/2006/relationships/hyperlink" Target="https://wellcometrust.lightning.force.com/lightning/r/Funding_Record__c/a2QQ5000000GLREMA4/view" TargetMode="External"/><Relationship Id="rId97" Type="http://schemas.openxmlformats.org/officeDocument/2006/relationships/hyperlink" Target="https://wellcometrust.lightning.force.com/lightning/r/Funding_Record__c/a2QQ5000000GLv2MAG/view" TargetMode="External"/><Relationship Id="rId120" Type="http://schemas.openxmlformats.org/officeDocument/2006/relationships/hyperlink" Target="https://wellcometrust.lightning.force.com/lightning/r/Funding_Record__c/a2QQ5000000GPUVMA4/view" TargetMode="External"/><Relationship Id="rId141" Type="http://schemas.openxmlformats.org/officeDocument/2006/relationships/hyperlink" Target="https://wellcometrust.lightning.force.com/lightning/r/Funding_Record__c/a2QQ5000000GVGkMAO/view" TargetMode="External"/><Relationship Id="rId7" Type="http://schemas.openxmlformats.org/officeDocument/2006/relationships/hyperlink" Target="https://wellcome.dimensions.ai/details/grant/grant.4580792?search_mode=content&amp;search_text=Wellcome%20Trust%20106871%2FZ%2F15%2FZ&amp;search_type=kws&amp;search_field=full_search" TargetMode="External"/><Relationship Id="rId162" Type="http://schemas.openxmlformats.org/officeDocument/2006/relationships/hyperlink" Target="https://wellcometrust.lightning.force.com/lightning/r/Funding_Record__c/a2QQ5000000GGoOMAW/view" TargetMode="External"/><Relationship Id="rId183" Type="http://schemas.openxmlformats.org/officeDocument/2006/relationships/hyperlink" Target="https://wellcometrust.lightning.force.com/lightning/r/Funding_Record__c/a2QQ5000000GCfwMAG/view" TargetMode="External"/><Relationship Id="rId218" Type="http://schemas.openxmlformats.org/officeDocument/2006/relationships/hyperlink" Target="https://wellcometrust.lightning.force.com/lightning/r/Funding_Record__c/a2QQ5000000GPoZMAW/view" TargetMode="External"/><Relationship Id="rId239" Type="http://schemas.openxmlformats.org/officeDocument/2006/relationships/hyperlink" Target="https://wellcometrust.lightning.force.com/lightning/r/Funding_Record__c/a2QQ5000000GUUeMAO/view" TargetMode="External"/><Relationship Id="rId250" Type="http://schemas.openxmlformats.org/officeDocument/2006/relationships/hyperlink" Target="https://wellcometrust.lightning.force.com/lightning/r/Funding_Record__c/a2QQ5000000GNicMAG/view" TargetMode="External"/><Relationship Id="rId24" Type="http://schemas.openxmlformats.org/officeDocument/2006/relationships/hyperlink" Target="https://wellcome.dimensions.ai/details/grant/grant.3632945?search_mode=content&amp;search_text=Wellcome%20Trust%20078925&amp;search_type=kws&amp;search_field=full_search" TargetMode="External"/><Relationship Id="rId45" Type="http://schemas.openxmlformats.org/officeDocument/2006/relationships/hyperlink" Target="https://wellcome.dimensions.ai/details/grant/grant.3635759?search_mode=content&amp;search_text=092654&amp;search_type=kws&amp;search_field=full_search" TargetMode="External"/><Relationship Id="rId66" Type="http://schemas.openxmlformats.org/officeDocument/2006/relationships/hyperlink" Target="https://wellcometrust.lightning.force.com/lightning/r/Funding_Record__c/a2QQ5000000GQaHMAW/view" TargetMode="External"/><Relationship Id="rId87" Type="http://schemas.openxmlformats.org/officeDocument/2006/relationships/hyperlink" Target="https://wellcometrust.lightning.force.com/lightning/r/Funding_Record__c/a2QQ5000000GP7aMAG/view" TargetMode="External"/><Relationship Id="rId110" Type="http://schemas.openxmlformats.org/officeDocument/2006/relationships/hyperlink" Target="https://wellcometrust.lightning.force.com/lightning/r/Funding_Record__c/a2QQ5000000GTsTMAW/view" TargetMode="External"/><Relationship Id="rId131" Type="http://schemas.openxmlformats.org/officeDocument/2006/relationships/hyperlink" Target="https://wellcometrust.lightning.force.com/lightning/r/Funding_Record__c/a2QQ5000000GQoWMAW/view" TargetMode="External"/><Relationship Id="rId152" Type="http://schemas.openxmlformats.org/officeDocument/2006/relationships/hyperlink" Target="https://wellcometrust.lightning.force.com/lightning/r/Funding_Record__c/a2QQ5000000GZy2MAG/view" TargetMode="External"/><Relationship Id="rId173" Type="http://schemas.openxmlformats.org/officeDocument/2006/relationships/hyperlink" Target="https://wellcometrust.lightning.force.com/lightning/r/Funding_Record__c/a2QQ5000000G6lKMAS/view" TargetMode="External"/><Relationship Id="rId194" Type="http://schemas.openxmlformats.org/officeDocument/2006/relationships/hyperlink" Target="https://wellcometrust.lightning.force.com/lightning/r/Funding_Record__c/a2QQ5000000GAhpMAG/view" TargetMode="External"/><Relationship Id="rId208" Type="http://schemas.openxmlformats.org/officeDocument/2006/relationships/hyperlink" Target="https://wellcometrust.lightning.force.com/lightning/r/Funding_Record__c/a2QQ5000000GYKzMAO/view" TargetMode="External"/><Relationship Id="rId229" Type="http://schemas.openxmlformats.org/officeDocument/2006/relationships/hyperlink" Target="https://wellcometrust.lightning.force.com/lightning/r/Funding_Record__c/a2QQ5000000GQRSMA4/view" TargetMode="External"/><Relationship Id="rId240" Type="http://schemas.openxmlformats.org/officeDocument/2006/relationships/hyperlink" Target="https://wellcometrust.lightning.force.com/lightning/r/Funding_Record__c/a2QQ5000000GMABMA4/view" TargetMode="External"/><Relationship Id="rId14" Type="http://schemas.openxmlformats.org/officeDocument/2006/relationships/hyperlink" Target="https://wellcome.dimensions.ai/details/grant/grant.8558599?search_mode=content&amp;search_text=Wellcome%20Trust%20216014%2FZ%2F19%2FZ&amp;search_type=kws&amp;search_field=full_search" TargetMode="External"/><Relationship Id="rId35" Type="http://schemas.openxmlformats.org/officeDocument/2006/relationships/hyperlink" Target="https://wellcome.dimensions.ai/details/grant/grant.3630122?search_mode=content&amp;search_text=Wellcome%20Trust%20076951&amp;search_type=kws&amp;search_field=full_search" TargetMode="External"/><Relationship Id="rId56" Type="http://schemas.openxmlformats.org/officeDocument/2006/relationships/hyperlink" Target="https://wellcometrust.lightning.force.com/lightning/r/Funding_Record__c/a2QQ5000000GMrzMAG/view" TargetMode="External"/><Relationship Id="rId77" Type="http://schemas.openxmlformats.org/officeDocument/2006/relationships/hyperlink" Target="https://wellcometrust.lightning.force.com/lightning/r/Funding_Record__c/a2QQ5000000GJmoMAG/view" TargetMode="External"/><Relationship Id="rId100" Type="http://schemas.openxmlformats.org/officeDocument/2006/relationships/hyperlink" Target="https://wellcometrust.lightning.force.com/lightning/r/Funding_Record__c/a2QQ5000000GH4DMAW/view" TargetMode="External"/><Relationship Id="rId8" Type="http://schemas.openxmlformats.org/officeDocument/2006/relationships/hyperlink" Target="https://wellcome.dimensions.ai/details/grant/grant.3637484?search_mode=content&amp;search_text=Wellcome%20Trust%20103932&amp;search_type=kws&amp;search_field=full_search" TargetMode="External"/><Relationship Id="rId98" Type="http://schemas.openxmlformats.org/officeDocument/2006/relationships/hyperlink" Target="https://wellcometrust.lightning.force.com/lightning/r/Funding_Record__c/a2QQ5000000GO4fMAG/view" TargetMode="External"/><Relationship Id="rId121" Type="http://schemas.openxmlformats.org/officeDocument/2006/relationships/hyperlink" Target="https://wellcometrust.lightning.force.com/lightning/r/Funding_Record__c/a2QQ5000000GC6WMAW/view" TargetMode="External"/><Relationship Id="rId142" Type="http://schemas.openxmlformats.org/officeDocument/2006/relationships/hyperlink" Target="https://wellcometrust.lightning.force.com/lightning/r/Funding_Record__c/a2QQ5000000GI8CMAW/view" TargetMode="External"/><Relationship Id="rId163" Type="http://schemas.openxmlformats.org/officeDocument/2006/relationships/hyperlink" Target="https://wellcometrust.lightning.force.com/lightning/r/Funding_Record__c/a2QQ5000000GBXvMAO/view" TargetMode="External"/><Relationship Id="rId184" Type="http://schemas.openxmlformats.org/officeDocument/2006/relationships/hyperlink" Target="https://wellcometrust.lightning.force.com/lightning/r/Funding_Record__c/a2QQ5000000GLHJMA4/view" TargetMode="External"/><Relationship Id="rId219" Type="http://schemas.openxmlformats.org/officeDocument/2006/relationships/hyperlink" Target="https://wellcometrust.lightning.force.com/lightning/r/Funding_Record__c/a2QQ5000000GMC1MAO/view" TargetMode="External"/><Relationship Id="rId230" Type="http://schemas.openxmlformats.org/officeDocument/2006/relationships/hyperlink" Target="https://wellcometrust.lightning.force.com/lightning/r/Funding_Record__c/a2QQ5000000G6PXMA0/view" TargetMode="External"/><Relationship Id="rId251" Type="http://schemas.openxmlformats.org/officeDocument/2006/relationships/hyperlink" Target="https://wellcometrust.lightning.force.com/lightning/r/Funding_Record__c/a2QQ5000000G8B1MAK/view" TargetMode="External"/><Relationship Id="rId25" Type="http://schemas.openxmlformats.org/officeDocument/2006/relationships/hyperlink" Target="https://wellcome.dimensions.ai/details/grant/grant.7159261?search_mode=content&amp;search_text=Wellcome%20Trust%20205177&amp;search_type=kws&amp;search_field=full_search" TargetMode="External"/><Relationship Id="rId46" Type="http://schemas.openxmlformats.org/officeDocument/2006/relationships/hyperlink" Target="https://wellcome.dimensions.ai/details/grant/grant.3639126?search_mode=content&amp;search_text=095066&amp;search_type=kws&amp;search_field=full_search" TargetMode="External"/><Relationship Id="rId67" Type="http://schemas.openxmlformats.org/officeDocument/2006/relationships/hyperlink" Target="https://wellcometrust.lightning.force.com/lightning/r/Funding_Record__c/a2QQ5000000GJY7MAO/view" TargetMode="External"/><Relationship Id="rId88" Type="http://schemas.openxmlformats.org/officeDocument/2006/relationships/hyperlink" Target="https://wellcometrust.lightning.force.com/lightning/r/Funding_Record__c/a2QQ5000000GWjyMAG/view" TargetMode="External"/><Relationship Id="rId111" Type="http://schemas.openxmlformats.org/officeDocument/2006/relationships/hyperlink" Target="https://wellcometrust.lightning.force.com/lightning/r/Funding_Record__c/a2QQ5000000GUMyMAO/view" TargetMode="External"/><Relationship Id="rId132" Type="http://schemas.openxmlformats.org/officeDocument/2006/relationships/hyperlink" Target="https://wellcometrust.lightning.force.com/lightning/r/Funding_Record__c/a2QQ5000000GIqzMAG/view" TargetMode="External"/><Relationship Id="rId153" Type="http://schemas.openxmlformats.org/officeDocument/2006/relationships/hyperlink" Target="https://wellcometrust.lightning.force.com/lightning/r/Funding_Record__c/a2QQ5000000GQfpMAG/view" TargetMode="External"/><Relationship Id="rId174" Type="http://schemas.openxmlformats.org/officeDocument/2006/relationships/hyperlink" Target="https://wellcometrust.lightning.force.com/lightning/r/Funding_Record__c/a2QQ5000000GMEPMA4/view" TargetMode="External"/><Relationship Id="rId195" Type="http://schemas.openxmlformats.org/officeDocument/2006/relationships/hyperlink" Target="https://wellcometrust.lightning.force.com/lightning/r/Funding_Record__c/a2QQ5000000GWXJMA4/view" TargetMode="External"/><Relationship Id="rId209" Type="http://schemas.openxmlformats.org/officeDocument/2006/relationships/hyperlink" Target="https://wellcometrust.lightning.force.com/lightning/r/Funding_Record__c/a2QQ5000000G9JGMA0/view" TargetMode="External"/><Relationship Id="rId220" Type="http://schemas.openxmlformats.org/officeDocument/2006/relationships/hyperlink" Target="https://wellcometrust.lightning.force.com/lightning/r/Funding_Record__c/a2QQ5000000GYvpMAG/view" TargetMode="External"/><Relationship Id="rId241" Type="http://schemas.openxmlformats.org/officeDocument/2006/relationships/hyperlink" Target="https://wellcometrust.lightning.force.com/lightning/r/Funding_Record__c/a2QQ5000000GJYtMAO/view" TargetMode="External"/><Relationship Id="rId15" Type="http://schemas.openxmlformats.org/officeDocument/2006/relationships/hyperlink" Target="https://wellcome.dimensions.ai/details/grant/grant.10029131?search_mode=content&amp;search_text=Wellcome%20Trust%20215022%2FZ%2F18%2FZ&amp;search_type=kws&amp;search_field=full_search" TargetMode="External"/><Relationship Id="rId36" Type="http://schemas.openxmlformats.org/officeDocument/2006/relationships/hyperlink" Target="https://wellcome.dimensions.ai/details/grant/grant.3626019?search_mode=content&amp;search_text=Wellcome%20Trust%20076583%2FZ%2F05%2FZ&amp;search_type=kws&amp;search_field=full_search" TargetMode="External"/><Relationship Id="rId57" Type="http://schemas.openxmlformats.org/officeDocument/2006/relationships/hyperlink" Target="https://wellcometrust.lightning.force.com/lightning/r/Funding_Record__c/a2QQ5000000GIGtMAO/view" TargetMode="External"/><Relationship Id="rId78" Type="http://schemas.openxmlformats.org/officeDocument/2006/relationships/hyperlink" Target="https://wellcometrust.lightning.force.com/lightning/r/Funding_Record__c/a2QQ5000000GGXKMA4/view" TargetMode="External"/><Relationship Id="rId99" Type="http://schemas.openxmlformats.org/officeDocument/2006/relationships/hyperlink" Target="https://wellcometrust.lightning.force.com/lightning/r/Funding_Record__c/a2QQ5000000GQCYMA4/view" TargetMode="External"/><Relationship Id="rId101" Type="http://schemas.openxmlformats.org/officeDocument/2006/relationships/hyperlink" Target="https://wellcometrust.lightning.force.com/lightning/r/Funding_Record__c/a2QQ5000001LVeXMAW/view" TargetMode="External"/><Relationship Id="rId122" Type="http://schemas.openxmlformats.org/officeDocument/2006/relationships/hyperlink" Target="https://wellcometrust.lightning.force.com/lightning/r/Funding_Record__c/a2QQ5000000GBRoMAO/view" TargetMode="External"/><Relationship Id="rId143" Type="http://schemas.openxmlformats.org/officeDocument/2006/relationships/hyperlink" Target="https://wellcometrust.lightning.force.com/lightning/r/Funding_Record__c/a2QQ5000000GHgoMAG/view" TargetMode="External"/><Relationship Id="rId164" Type="http://schemas.openxmlformats.org/officeDocument/2006/relationships/hyperlink" Target="https://wellcometrust.lightning.force.com/lightning/r/Funding_Record__c/a2QQ5000000GMEQMA4/view" TargetMode="External"/><Relationship Id="rId185" Type="http://schemas.openxmlformats.org/officeDocument/2006/relationships/hyperlink" Target="https://wellcometrust.lightning.force.com/lightning/r/Funding_Record__c/a2QQ5000000GI7ZMAW/view" TargetMode="External"/><Relationship Id="rId9" Type="http://schemas.openxmlformats.org/officeDocument/2006/relationships/hyperlink" Target="https://wellcome.dimensions.ai/details/grant/grant.3637460?search_mode=content&amp;search_text=Wellcome%20Trust%20100891&amp;search_type=kws&amp;search_field=full_search" TargetMode="External"/><Relationship Id="rId210" Type="http://schemas.openxmlformats.org/officeDocument/2006/relationships/hyperlink" Target="https://wellcometrust.lightning.force.com/lightning/r/Funding_Record__c/a2QQ5000000GESfMAO/view" TargetMode="External"/><Relationship Id="rId26" Type="http://schemas.openxmlformats.org/officeDocument/2006/relationships/hyperlink" Target="https://wellcome.dimensions.ai/details/grant/grant.3639894?search_mode=content&amp;search_text=Wellcome%20Trust%20098045&amp;search_type=kws&amp;search_field=full_search" TargetMode="External"/><Relationship Id="rId231" Type="http://schemas.openxmlformats.org/officeDocument/2006/relationships/hyperlink" Target="https://wellcometrust.lightning.force.com/lightning/r/Funding_Record__c/a2QQ5000000GICcMAO/view" TargetMode="External"/><Relationship Id="rId252" Type="http://schemas.openxmlformats.org/officeDocument/2006/relationships/printerSettings" Target="../printerSettings/printerSettings1.bin"/><Relationship Id="rId47" Type="http://schemas.openxmlformats.org/officeDocument/2006/relationships/hyperlink" Target="https://wellcome.dimensions.ai/details/grant/grant.3634803?search_mode=content&amp;search_text=079080&amp;search_type=kws&amp;search_field=full_search" TargetMode="External"/><Relationship Id="rId68" Type="http://schemas.openxmlformats.org/officeDocument/2006/relationships/hyperlink" Target="https://wellcometrust.lightning.force.com/lightning/r/Funding_Record__c/a2QQ5000000GHzFMAW/view" TargetMode="External"/><Relationship Id="rId89" Type="http://schemas.openxmlformats.org/officeDocument/2006/relationships/hyperlink" Target="https://wellcometrust.lightning.force.com/lightning/r/Funding_Record__c/a2QQ5000000GXo8MAG/view" TargetMode="External"/><Relationship Id="rId112" Type="http://schemas.openxmlformats.org/officeDocument/2006/relationships/hyperlink" Target="https://wellcometrust.lightning.force.com/lightning/r/Funding_Record__c/a2Q8d00000OCJ5pEAH/view" TargetMode="External"/><Relationship Id="rId133" Type="http://schemas.openxmlformats.org/officeDocument/2006/relationships/hyperlink" Target="https://wellcometrust.lightning.force.com/lightning/r/Funding_Record__c/a2QQ5000000GOe6MAG/view" TargetMode="External"/><Relationship Id="rId154" Type="http://schemas.openxmlformats.org/officeDocument/2006/relationships/hyperlink" Target="https://wellcometrust.lightning.force.com/lightning/r/Funding_Record__c/a2QQ5000000GSdNMAW/view" TargetMode="External"/><Relationship Id="rId175" Type="http://schemas.openxmlformats.org/officeDocument/2006/relationships/hyperlink" Target="https://wellcometrust.lightning.force.com/lightning/r/Funding_Record__c/a2QQ5000000GT7GMAW/view" TargetMode="External"/><Relationship Id="rId196" Type="http://schemas.openxmlformats.org/officeDocument/2006/relationships/hyperlink" Target="https://wellcometrust.lightning.force.com/lightning/r/Funding_Record__c/a2QQ5000001uHdVMAU/view" TargetMode="External"/><Relationship Id="rId200" Type="http://schemas.openxmlformats.org/officeDocument/2006/relationships/hyperlink" Target="https://wellcometrust.lightning.force.com/lightning/r/Funding_Record__c/a2QQ5000000GP8rMAG/view" TargetMode="External"/><Relationship Id="rId16" Type="http://schemas.openxmlformats.org/officeDocument/2006/relationships/hyperlink" Target="https://wellcome.dimensions.ai/details/grant/grant.8104022?search_mode=content&amp;search_text=Wellcome%20Trust%20213494%2FZ%2F18%2FZ&amp;search_type=kws&amp;search_field=full_search" TargetMode="External"/><Relationship Id="rId221" Type="http://schemas.openxmlformats.org/officeDocument/2006/relationships/hyperlink" Target="https://wellcometrust.lightning.force.com/lightning/r/Funding_Record__c/a2QQ5000000G5BpMAK/view" TargetMode="External"/><Relationship Id="rId242" Type="http://schemas.openxmlformats.org/officeDocument/2006/relationships/hyperlink" Target="https://wellcometrust.lightning.force.com/lightning/r/Funding_Record__c/a2QQ5000000GSLUMA4/view" TargetMode="External"/><Relationship Id="rId37" Type="http://schemas.openxmlformats.org/officeDocument/2006/relationships/hyperlink" Target="https://wellcome.dimensions.ai/details/grant/grant.3642065?search_mode=content&amp;search_text=Wellcome%20Trust%20089276&amp;search_type=kws&amp;search_field=full_search" TargetMode="External"/><Relationship Id="rId58" Type="http://schemas.openxmlformats.org/officeDocument/2006/relationships/hyperlink" Target="https://wellcometrust.lightning.force.com/lightning/r/Funding_Record__c/a2QQ5000001ISA9MAO/view" TargetMode="External"/><Relationship Id="rId79" Type="http://schemas.openxmlformats.org/officeDocument/2006/relationships/hyperlink" Target="https://wellcometrust.lightning.force.com/lightning/r/Funding_Record__c/a2QQ5000000G5OyMAK/view" TargetMode="External"/><Relationship Id="rId102" Type="http://schemas.openxmlformats.org/officeDocument/2006/relationships/hyperlink" Target="https://wellcometrust.lightning.force.com/lightning/r/Funding_Record__c/a2Q8d00000RxZ28EAF/view" TargetMode="External"/><Relationship Id="rId123" Type="http://schemas.openxmlformats.org/officeDocument/2006/relationships/hyperlink" Target="https://wellcometrust.lightning.force.com/lightning/r/Funding_Record__c/a2QQ5000000GPHCMA4/view" TargetMode="External"/><Relationship Id="rId144" Type="http://schemas.openxmlformats.org/officeDocument/2006/relationships/hyperlink" Target="https://wellcometrust.lightning.force.com/lightning/r/Funding_Record__c/a2QQ5000000GIkSMAW/view" TargetMode="External"/><Relationship Id="rId90" Type="http://schemas.openxmlformats.org/officeDocument/2006/relationships/hyperlink" Target="https://wellcometrust.lightning.force.com/lightning/r/Funding_Record__c/a2QQ5000000G948MAC/view" TargetMode="External"/><Relationship Id="rId165" Type="http://schemas.openxmlformats.org/officeDocument/2006/relationships/hyperlink" Target="https://wellcometrust.lightning.force.com/lightning/r/Funding_Record__c/a2QQ5000000GDswMAG/view" TargetMode="External"/><Relationship Id="rId186" Type="http://schemas.openxmlformats.org/officeDocument/2006/relationships/hyperlink" Target="https://wellcometrust.lightning.force.com/lightning/r/Funding_Record__c/a2QQ5000000GF5dMAG/view" TargetMode="External"/><Relationship Id="rId211" Type="http://schemas.openxmlformats.org/officeDocument/2006/relationships/hyperlink" Target="https://wellcometrust.lightning.force.com/lightning/r/Funding_Record__c/a2QQ5000000GIfDMAW/view" TargetMode="External"/><Relationship Id="rId232" Type="http://schemas.openxmlformats.org/officeDocument/2006/relationships/hyperlink" Target="https://wellcometrust.lightning.force.com/lightning/r/Funding_Record__c/a2QQ5000000GLqjMAG/view" TargetMode="External"/><Relationship Id="rId253" Type="http://schemas.openxmlformats.org/officeDocument/2006/relationships/vmlDrawing" Target="../drawings/vmlDrawing1.vml"/><Relationship Id="rId27" Type="http://schemas.openxmlformats.org/officeDocument/2006/relationships/hyperlink" Target="https://wellcome.dimensions.ai/details/grant/grant.10029544?search_mode=content&amp;search_text=Wellcome%20Trust%20218743%2FZ%2F19%2FZ&amp;search_type=kws&amp;search_field=full_search" TargetMode="External"/><Relationship Id="rId48" Type="http://schemas.openxmlformats.org/officeDocument/2006/relationships/hyperlink" Target="https://wellcome.dimensions.ai/details/grant/grant.4580203?search_mode=content&amp;search_text=107769%2FZ%2F15%2FZ&amp;search_type=kws&amp;search_field=full_search" TargetMode="External"/><Relationship Id="rId69" Type="http://schemas.openxmlformats.org/officeDocument/2006/relationships/hyperlink" Target="https://wellcometrust.lightning.force.com/lightning/r/Funding_Record__c/a2QQ5000000GY6lMAG/view" TargetMode="External"/><Relationship Id="rId113" Type="http://schemas.openxmlformats.org/officeDocument/2006/relationships/hyperlink" Target="https://wellcometrust.lightning.force.com/lightning/r/Funding_Record__c/a2QQ5000000G9biMAC/view" TargetMode="External"/><Relationship Id="rId134" Type="http://schemas.openxmlformats.org/officeDocument/2006/relationships/hyperlink" Target="https://wellcometrust.lightning.force.com/lightning/r/Funding_Record__c/a2QQ5000000GKmPMAW/view" TargetMode="External"/><Relationship Id="rId80" Type="http://schemas.openxmlformats.org/officeDocument/2006/relationships/hyperlink" Target="https://wellcometrust.lightning.force.com/lightning/r/Funding_Record__c/a2QQ5000000GEZSMA4/view" TargetMode="External"/><Relationship Id="rId155" Type="http://schemas.openxmlformats.org/officeDocument/2006/relationships/hyperlink" Target="https://wellcometrust.lightning.force.com/lightning/r/Funding_Record__c/a2QQ5000000GLjYMAW/view" TargetMode="External"/><Relationship Id="rId176" Type="http://schemas.openxmlformats.org/officeDocument/2006/relationships/hyperlink" Target="https://wellcometrust.lightning.force.com/lightning/r/Funding_Record__c/a2QQ5000000GNvEMAW/view" TargetMode="External"/><Relationship Id="rId197" Type="http://schemas.openxmlformats.org/officeDocument/2006/relationships/hyperlink" Target="https://wellcometrust.lightning.force.com/lightning/r/Funding_Record__c/a2QQ5000000GWLsMAO/view" TargetMode="External"/><Relationship Id="rId201" Type="http://schemas.openxmlformats.org/officeDocument/2006/relationships/hyperlink" Target="https://wellcometrust.lightning.force.com/lightning/r/Funding_Record__c/a2QQ5000000GIR9MAO/view" TargetMode="External"/><Relationship Id="rId222" Type="http://schemas.openxmlformats.org/officeDocument/2006/relationships/hyperlink" Target="https://wellcometrust.lightning.force.com/lightning/r/Funding_Record__c/a2QQ5000000GF1QMAW/view" TargetMode="External"/><Relationship Id="rId243" Type="http://schemas.openxmlformats.org/officeDocument/2006/relationships/hyperlink" Target="https://wellcometrust.lightning.force.com/lightning/r/Funding_Record__c/a2QQ5000000GRvdMAG/view" TargetMode="External"/><Relationship Id="rId17" Type="http://schemas.openxmlformats.org/officeDocument/2006/relationships/hyperlink" Target="https://wellcome.dimensions.ai/details/grant/grant.6666215?search_mode=content&amp;search_text=Wellcome%20Trust%20203077%2FZ%2F16%2FZ&amp;search_type=kws&amp;search_field=full_search" TargetMode="External"/><Relationship Id="rId38" Type="http://schemas.openxmlformats.org/officeDocument/2006/relationships/hyperlink" Target="https://wellcome.dimensions.ai/details/grant/grant.3640427?search_mode=content&amp;search_text=085308&amp;search_type=kws&amp;search_field=full_search" TargetMode="External"/><Relationship Id="rId59" Type="http://schemas.openxmlformats.org/officeDocument/2006/relationships/hyperlink" Target="https://wellcometrust.lightning.force.com/lightning/r/Funding_Record__c/a2QQ5000000GZiBMAW/view" TargetMode="External"/><Relationship Id="rId103" Type="http://schemas.openxmlformats.org/officeDocument/2006/relationships/hyperlink" Target="https://wellcometrust.lightning.force.com/lightning/r/Funding_Record__c/a2QQ5000000GXFHMA4/view" TargetMode="External"/><Relationship Id="rId124" Type="http://schemas.openxmlformats.org/officeDocument/2006/relationships/hyperlink" Target="https://wellcometrust.lightning.force.com/lightning/r/Funding_Record__c/a2QQ5000000GKmzMAG/view" TargetMode="External"/><Relationship Id="rId70" Type="http://schemas.openxmlformats.org/officeDocument/2006/relationships/hyperlink" Target="https://wellcometrust.lightning.force.com/lightning/r/Funding_Record__c/a2QQ5000000G9QyMAK/view" TargetMode="External"/><Relationship Id="rId91" Type="http://schemas.openxmlformats.org/officeDocument/2006/relationships/hyperlink" Target="https://wellcometrust.lightning.force.com/lightning/r/Funding_Record__c/a2QQ5000000G8aZMAS/view" TargetMode="External"/><Relationship Id="rId145" Type="http://schemas.openxmlformats.org/officeDocument/2006/relationships/hyperlink" Target="https://wellcometrust.lightning.force.com/lightning/r/Funding_Record__c/a2QQ5000000GYSHMA4/view" TargetMode="External"/><Relationship Id="rId166" Type="http://schemas.openxmlformats.org/officeDocument/2006/relationships/hyperlink" Target="https://wellcometrust.lightning.force.com/lightning/r/Funding_Record__c/a2QQ5000000GCJNMA4/view" TargetMode="External"/><Relationship Id="rId187" Type="http://schemas.openxmlformats.org/officeDocument/2006/relationships/hyperlink" Target="https://wellcometrust.lightning.force.com/lightning/r/Funding_Record__c/a2QQ5000000GQs0MAG/view" TargetMode="External"/><Relationship Id="rId1" Type="http://schemas.openxmlformats.org/officeDocument/2006/relationships/hyperlink" Target="https://wellcome.dimensions.ai/details/grant/grant.4580178?search_mode=content&amp;search_text=Wellcome%20Trust%20200890%2FZ%2F16%2FZ&amp;search_type=kws&amp;search_field=full_search" TargetMode="External"/><Relationship Id="rId212" Type="http://schemas.openxmlformats.org/officeDocument/2006/relationships/hyperlink" Target="https://wellcometrust.lightning.force.com/lightning/r/Funding_Record__c/a2QQ5000000GVZ4MAO/view" TargetMode="External"/><Relationship Id="rId233" Type="http://schemas.openxmlformats.org/officeDocument/2006/relationships/hyperlink" Target="https://wellcometrust.lightning.force.com/lightning/r/Funding_Record__c/a2QQ5000000GaYZMA0/view" TargetMode="External"/><Relationship Id="rId254" Type="http://schemas.openxmlformats.org/officeDocument/2006/relationships/comments" Target="../comments1.xml"/><Relationship Id="rId28" Type="http://schemas.openxmlformats.org/officeDocument/2006/relationships/hyperlink" Target="https://wellcome.dimensions.ai/details/grant/grant.7159267?search_mode=content&amp;search_text=Wellcome%20Trust%20205207%2FZ%2F16%2FZ&amp;search_type=kws&amp;search_field=full_search" TargetMode="External"/><Relationship Id="rId49" Type="http://schemas.openxmlformats.org/officeDocument/2006/relationships/hyperlink" Target="https://wellcometrust.lightning.force.com/lightning/r/Funding_Record__c/a2QQ5000000GV0cMAG/view" TargetMode="External"/><Relationship Id="rId114" Type="http://schemas.openxmlformats.org/officeDocument/2006/relationships/hyperlink" Target="https://wellcometrust.lightning.force.com/lightning/r/Funding_Record__c/a2QQ5000000GF6UMAW/view" TargetMode="External"/><Relationship Id="rId60" Type="http://schemas.openxmlformats.org/officeDocument/2006/relationships/hyperlink" Target="https://wellcometrust.lightning.force.com/lightning/r/Funding_Record__c/a2QQ5000001CEBWMA4/view" TargetMode="External"/><Relationship Id="rId81" Type="http://schemas.openxmlformats.org/officeDocument/2006/relationships/hyperlink" Target="https://wellcometrust.lightning.force.com/lightning/r/Funding_Record__c/a2QQ5000000GSU8MAO/view" TargetMode="External"/><Relationship Id="rId135" Type="http://schemas.openxmlformats.org/officeDocument/2006/relationships/hyperlink" Target="https://wellcometrust.lightning.force.com/lightning/r/Funding_Record__c/a2QQ5000000GEwLMAW/view" TargetMode="External"/><Relationship Id="rId156" Type="http://schemas.openxmlformats.org/officeDocument/2006/relationships/hyperlink" Target="https://wellcometrust.lightning.force.com/lightning/r/Funding_Record__c/a2QQ5000000GCKIMA4/view" TargetMode="External"/><Relationship Id="rId177" Type="http://schemas.openxmlformats.org/officeDocument/2006/relationships/hyperlink" Target="https://wellcometrust.lightning.force.com/lightning/r/Funding_Record__c/a2QQ5000000GWZnMAO/view" TargetMode="External"/><Relationship Id="rId198" Type="http://schemas.openxmlformats.org/officeDocument/2006/relationships/hyperlink" Target="https://wellcometrust.lightning.force.com/lightning/r/Funding_Record__c/a2QQ5000000GJkAMAW/view" TargetMode="External"/><Relationship Id="rId202" Type="http://schemas.openxmlformats.org/officeDocument/2006/relationships/hyperlink" Target="https://wellcometrust.lightning.force.com/lightning/r/Funding_Record__c/a2Q8d00000OC6xvEAD/view" TargetMode="External"/><Relationship Id="rId223" Type="http://schemas.openxmlformats.org/officeDocument/2006/relationships/hyperlink" Target="https://wellcometrust.lightning.force.com/lightning/r/Funding_Record__c/a2QQ5000000GOG8MAO/view" TargetMode="External"/><Relationship Id="rId244" Type="http://schemas.openxmlformats.org/officeDocument/2006/relationships/hyperlink" Target="https://wellcometrust.lightning.force.com/lightning/r/Funding_Record__c/a2QQ5000000GJwfMAG/view" TargetMode="External"/><Relationship Id="rId18" Type="http://schemas.openxmlformats.org/officeDocument/2006/relationships/hyperlink" Target="https://wellcome.dimensions.ai/details/grant/grant.6665158?search_mode=content&amp;search_text=Wellcome%20Trust%20106924&amp;search_type=kws&amp;search_field=full_search" TargetMode="External"/><Relationship Id="rId39" Type="http://schemas.openxmlformats.org/officeDocument/2006/relationships/hyperlink" Target="https://wellcome.dimensions.ai/details/grant/grant.3638641?search_mode=content&amp;search_text=Wellcome%20Trust%20100693&amp;search_type=kws&amp;search_field=full_search" TargetMode="External"/><Relationship Id="rId50" Type="http://schemas.openxmlformats.org/officeDocument/2006/relationships/hyperlink" Target="https://wellcometrust.lightning.force.com/lightning/r/Funding_Record__c/a2QQ5000000GMdHMAW/view" TargetMode="External"/><Relationship Id="rId104" Type="http://schemas.openxmlformats.org/officeDocument/2006/relationships/hyperlink" Target="https://wellcometrust.lightning.force.com/lightning/r/Funding_Record__c/a2QQ5000000GEbGMAW/view" TargetMode="External"/><Relationship Id="rId125" Type="http://schemas.openxmlformats.org/officeDocument/2006/relationships/hyperlink" Target="https://wellcometrust.lightning.force.com/lightning/r/Funding_Record__c/a2QQ5000000G9INMA0/view" TargetMode="External"/><Relationship Id="rId146" Type="http://schemas.openxmlformats.org/officeDocument/2006/relationships/hyperlink" Target="https://wellcometrust.lightning.force.com/lightning/r/Funding_Record__c/a2QQ5000000GKqyMAG/view" TargetMode="External"/><Relationship Id="rId167" Type="http://schemas.openxmlformats.org/officeDocument/2006/relationships/hyperlink" Target="https://wellcometrust.lightning.force.com/lightning/r/Funding_Record__c/a2QQ50000016nezMAA/view" TargetMode="External"/><Relationship Id="rId188" Type="http://schemas.openxmlformats.org/officeDocument/2006/relationships/hyperlink" Target="https://wellcometrust.lightning.force.com/lightning/r/Funding_Record__c/a2QQ5000000GT0BMAW/view" TargetMode="External"/><Relationship Id="rId71" Type="http://schemas.openxmlformats.org/officeDocument/2006/relationships/hyperlink" Target="https://wellcometrust.lightning.force.com/lightning/r/Funding_Record__c/a2QQ5000000GPvDMAW/view" TargetMode="External"/><Relationship Id="rId92" Type="http://schemas.openxmlformats.org/officeDocument/2006/relationships/hyperlink" Target="https://wellcometrust.lightning.force.com/lightning/r/Funding_Record__c/a2QQ5000000GEVYMA4/view" TargetMode="External"/><Relationship Id="rId213" Type="http://schemas.openxmlformats.org/officeDocument/2006/relationships/hyperlink" Target="https://wellcometrust.lightning.force.com/lightning/r/Funding_Record__c/a2QQ5000000G6y8MAC/view" TargetMode="External"/><Relationship Id="rId234" Type="http://schemas.openxmlformats.org/officeDocument/2006/relationships/hyperlink" Target="https://wellcometrust.lightning.force.com/lightning/r/Funding_Record__c/a2QQ5000000GReFMAW/view" TargetMode="External"/><Relationship Id="rId2" Type="http://schemas.openxmlformats.org/officeDocument/2006/relationships/hyperlink" Target="https://wellcome.dimensions.ai/details/grant/grant.10030322?search_mode=content&amp;search_text=Wellcome%20Trust%20222180%2FZ%2F20%2FZ&amp;search_type=kws&amp;search_field=full_search" TargetMode="External"/><Relationship Id="rId29" Type="http://schemas.openxmlformats.org/officeDocument/2006/relationships/hyperlink" Target="https://wellcome.dimensions.ai/details/grant/grant.4579409?search_mode=content&amp;search_text=Wellcome%20Trust%20103602&amp;search_type=kws&amp;search_field=full_search" TargetMode="External"/><Relationship Id="rId255" Type="http://schemas.microsoft.com/office/2017/10/relationships/threadedComment" Target="../threadedComments/threadedComment1.xml"/><Relationship Id="rId40" Type="http://schemas.openxmlformats.org/officeDocument/2006/relationships/hyperlink" Target="https://wellcome.dimensions.ai/details/application/056642Z99Z?search_mode=content&amp;search_text=056642&amp;search_type=kws&amp;search_field=full_search" TargetMode="External"/><Relationship Id="rId115" Type="http://schemas.openxmlformats.org/officeDocument/2006/relationships/hyperlink" Target="https://wellcometrust.lightning.force.com/lightning/r/Funding_Record__c/a2QQ5000000GIUqMAO/view" TargetMode="External"/><Relationship Id="rId136" Type="http://schemas.openxmlformats.org/officeDocument/2006/relationships/hyperlink" Target="https://wellcometrust.lightning.force.com/lightning/r/Funding_Record__c/a2QQ5000000GZV6MAO/view" TargetMode="External"/><Relationship Id="rId157" Type="http://schemas.openxmlformats.org/officeDocument/2006/relationships/hyperlink" Target="https://wellcometrust.lightning.force.com/lightning/r/Funding_Record__c/a2QQ5000000GSXoMAO/view" TargetMode="External"/><Relationship Id="rId178" Type="http://schemas.openxmlformats.org/officeDocument/2006/relationships/hyperlink" Target="https://wellcometrust.lightning.force.com/lightning/r/Funding_Record__c/a2QQ5000000GGhRMAW/view" TargetMode="External"/><Relationship Id="rId61" Type="http://schemas.openxmlformats.org/officeDocument/2006/relationships/hyperlink" Target="https://wellcometrust.lightning.force.com/lightning/r/Funding_Record__c/a2QQ5000000GCnGMAW/view" TargetMode="External"/><Relationship Id="rId82" Type="http://schemas.openxmlformats.org/officeDocument/2006/relationships/hyperlink" Target="https://wellcometrust.lightning.force.com/lightning/r/Funding_Record__c/a2QQ5000000GW5eMAG/view" TargetMode="External"/><Relationship Id="rId199" Type="http://schemas.openxmlformats.org/officeDocument/2006/relationships/hyperlink" Target="https://wellcometrust.lightning.force.com/lightning/r/Funding_Record__c/a2QQ5000000GKkEMAW/view" TargetMode="External"/><Relationship Id="rId203" Type="http://schemas.openxmlformats.org/officeDocument/2006/relationships/hyperlink" Target="https://wellcometrust.lightning.force.com/lightning/r/Funding_Record__c/a2QQ5000000AJscMAG/view" TargetMode="External"/><Relationship Id="rId19" Type="http://schemas.openxmlformats.org/officeDocument/2006/relationships/hyperlink" Target="https://wellcome.dimensions.ai/details/grant/grant.3641420?search_mode=content&amp;search_text=Wellcome%20Trust%20101113&amp;search_type=kws&amp;search_field=full_search" TargetMode="External"/><Relationship Id="rId224" Type="http://schemas.openxmlformats.org/officeDocument/2006/relationships/hyperlink" Target="https://wellcometrust.lightning.force.com/lightning/r/Funding_Record__c/a2QQ5000000GW0kMAG/view" TargetMode="External"/><Relationship Id="rId245" Type="http://schemas.openxmlformats.org/officeDocument/2006/relationships/hyperlink" Target="https://wellcometrust.lightning.force.com/lightning/r/Funding_Record__c/a2QQ5000000GKIaMAO/view" TargetMode="External"/><Relationship Id="rId30" Type="http://schemas.openxmlformats.org/officeDocument/2006/relationships/hyperlink" Target="https://wellcome.dimensions.ai/details/grant/grant.3637935?search_mode=content&amp;search_text=Wellcome%20Trust%20099876&amp;search_type=kws&amp;search_field=full_search" TargetMode="External"/><Relationship Id="rId105" Type="http://schemas.openxmlformats.org/officeDocument/2006/relationships/hyperlink" Target="https://wellcometrust.lightning.force.com/lightning/r/Funding_Record__c/a2QQ5000000GNPMMA4/view" TargetMode="External"/><Relationship Id="rId126" Type="http://schemas.openxmlformats.org/officeDocument/2006/relationships/hyperlink" Target="https://wellcometrust.lightning.force.com/lightning/r/Funding_Record__c/a2QQ5000000GTJpMAO/view" TargetMode="External"/><Relationship Id="rId147" Type="http://schemas.openxmlformats.org/officeDocument/2006/relationships/hyperlink" Target="https://wellcometrust.lightning.force.com/lightning/r/Funding_Record__c/a2QQ5000000G8TCMA0/view" TargetMode="External"/><Relationship Id="rId168" Type="http://schemas.openxmlformats.org/officeDocument/2006/relationships/hyperlink" Target="https://wellcometrust.lightning.force.com/lightning/r/Funding_Record__c/a2QQ5000000tywhMAA/view" TargetMode="External"/><Relationship Id="rId51" Type="http://schemas.openxmlformats.org/officeDocument/2006/relationships/hyperlink" Target="https://wellcometrust.lightning.force.com/lightning/r/Funding_Record__c/a2QQ5000000GIDSMA4/view" TargetMode="External"/><Relationship Id="rId72" Type="http://schemas.openxmlformats.org/officeDocument/2006/relationships/hyperlink" Target="https://wellcometrust.lightning.force.com/lightning/r/Funding_Record__c/a2QQ50000017857MAA/view" TargetMode="External"/><Relationship Id="rId93" Type="http://schemas.openxmlformats.org/officeDocument/2006/relationships/hyperlink" Target="https://wellcometrust.lightning.force.com/lightning/r/Funding_Record__c/a2QQ5000000GYxWMAW/view" TargetMode="External"/><Relationship Id="rId189" Type="http://schemas.openxmlformats.org/officeDocument/2006/relationships/hyperlink" Target="https://wellcometrust.lightning.force.com/lightning/r/Funding_Record__c/a2QQ5000000GXgoMAG/view" TargetMode="External"/><Relationship Id="rId3" Type="http://schemas.openxmlformats.org/officeDocument/2006/relationships/hyperlink" Target="https://wellcome.dimensions.ai/details/grant/grant.10029576?search_mode=content&amp;search_text=Wellcome%20Trust%20219169%2FZ%2F19%2FZ&amp;search_type=kws&amp;search_field=full_search" TargetMode="External"/><Relationship Id="rId214" Type="http://schemas.openxmlformats.org/officeDocument/2006/relationships/hyperlink" Target="https://wellcometrust.lightning.force.com/lightning/r/Funding_Record__c/a2QQ5000000GZPvMAO/view" TargetMode="External"/><Relationship Id="rId235" Type="http://schemas.openxmlformats.org/officeDocument/2006/relationships/hyperlink" Target="https://wellcometrust.lightning.force.com/lightning/r/Funding_Record__c/a2QQ5000000GaOoMAK/view" TargetMode="External"/><Relationship Id="rId116" Type="http://schemas.openxmlformats.org/officeDocument/2006/relationships/hyperlink" Target="https://wellcometrust.lightning.force.com/lightning/r/Funding_Record__c/a2QQ5000000GZUiMAO/view" TargetMode="External"/><Relationship Id="rId137" Type="http://schemas.openxmlformats.org/officeDocument/2006/relationships/hyperlink" Target="https://wellcometrust.lightning.force.com/lightning/r/Funding_Record__c/a2QQ5000000GJKFMA4/view" TargetMode="External"/><Relationship Id="rId158" Type="http://schemas.openxmlformats.org/officeDocument/2006/relationships/hyperlink" Target="https://wellcometrust.lightning.force.com/lightning/r/Funding_Record__c/a2QQ5000000GGI2MAO/view" TargetMode="External"/><Relationship Id="rId20" Type="http://schemas.openxmlformats.org/officeDocument/2006/relationships/hyperlink" Target="https://wellcome.dimensions.ai/details/grant/grant.3639009?search_mode=content&amp;search_text=Wellcome%20Trust%20087540&amp;search_type=kws&amp;search_field=full_search" TargetMode="External"/><Relationship Id="rId41" Type="http://schemas.openxmlformats.org/officeDocument/2006/relationships/hyperlink" Target="https://wellcome.dimensions.ai/details/grant/grant.6665806?search_mode=content&amp;search_text=Wellcome%20Trust%20201900%2FZ%2F16%2FZ&amp;search_type=kws&amp;search_field=full_search" TargetMode="External"/><Relationship Id="rId62" Type="http://schemas.openxmlformats.org/officeDocument/2006/relationships/hyperlink" Target="https://wellcometrust.lightning.force.com/lightning/r/Funding_Record__c/a2QQ5000000GEYcMAO/view" TargetMode="External"/><Relationship Id="rId83" Type="http://schemas.openxmlformats.org/officeDocument/2006/relationships/hyperlink" Target="https://wellcometrust.lightning.force.com/lightning/r/Funding_Record__c/a2QQ5000001BF9dMAG/view" TargetMode="External"/><Relationship Id="rId179" Type="http://schemas.openxmlformats.org/officeDocument/2006/relationships/hyperlink" Target="https://wellcometrust.lightning.force.com/lightning/r/Funding_Record__c/a2QQ5000000GUNFMA4/view" TargetMode="External"/><Relationship Id="rId190" Type="http://schemas.openxmlformats.org/officeDocument/2006/relationships/hyperlink" Target="https://wellcometrust.lightning.force.com/lightning/r/Funding_Record__c/a2QQ5000000G6RmMAK/view" TargetMode="External"/><Relationship Id="rId204" Type="http://schemas.openxmlformats.org/officeDocument/2006/relationships/hyperlink" Target="https://wellcometrust.lightning.force.com/lightning/r/Funding_Record__c/a2QQ5000000GDjoMAG/view" TargetMode="External"/><Relationship Id="rId225" Type="http://schemas.openxmlformats.org/officeDocument/2006/relationships/hyperlink" Target="https://wellcometrust.lightning.force.com/lightning/r/Funding_Record__c/a2QQ5000000GP0iMAG/view" TargetMode="External"/><Relationship Id="rId246" Type="http://schemas.openxmlformats.org/officeDocument/2006/relationships/hyperlink" Target="https://wellcometrust.lightning.force.com/lightning/r/Funding_Record__c/a2QQ5000000GImBMAW/view" TargetMode="External"/><Relationship Id="rId106" Type="http://schemas.openxmlformats.org/officeDocument/2006/relationships/hyperlink" Target="https://wellcometrust.lightning.force.com/lightning/r/Funding_Record__c/a2QQ5000000GYwJMAW/view" TargetMode="External"/><Relationship Id="rId127" Type="http://schemas.openxmlformats.org/officeDocument/2006/relationships/hyperlink" Target="https://wellcometrust.lightning.force.com/lightning/r/Funding_Record__c/a2QQ5000000GTJpMAO/view" TargetMode="External"/><Relationship Id="rId10" Type="http://schemas.openxmlformats.org/officeDocument/2006/relationships/hyperlink" Target="https://wellcome.dimensions.ai/details/grant/grant.3638667?search_mode=content&amp;search_text=Wellcome%20Trust%20087547%2FZ%2F08%2FZ&amp;search_type=kws&amp;search_field=full_search" TargetMode="External"/><Relationship Id="rId31" Type="http://schemas.openxmlformats.org/officeDocument/2006/relationships/hyperlink" Target="https://wellcome.dimensions.ai/details/grant/grant.3639034?search_mode=content&amp;search_text=Wellcome%20Trust%20093724&amp;search_type=kws&amp;search_field=full_search" TargetMode="External"/><Relationship Id="rId52" Type="http://schemas.openxmlformats.org/officeDocument/2006/relationships/hyperlink" Target="https://wellcometrust.lightning.force.com/lightning/r/Funding_Record__c/a2QQ5000000GU8jMAG/view" TargetMode="External"/><Relationship Id="rId73" Type="http://schemas.openxmlformats.org/officeDocument/2006/relationships/hyperlink" Target="https://wellcometrust.lightning.force.com/lightning/r/Funding_Record__c/a2QQ5000000GX8cMAG/view" TargetMode="External"/><Relationship Id="rId94" Type="http://schemas.openxmlformats.org/officeDocument/2006/relationships/hyperlink" Target="https://wellcometrust.lightning.force.com/lightning/r/Funding_Record__c/a2QQ5000000GON3MAO/view" TargetMode="External"/><Relationship Id="rId148" Type="http://schemas.openxmlformats.org/officeDocument/2006/relationships/hyperlink" Target="https://wellcometrust.lightning.force.com/lightning/r/Funding_Record__c/a2QQ5000000GMxgMAG/view" TargetMode="External"/><Relationship Id="rId169" Type="http://schemas.openxmlformats.org/officeDocument/2006/relationships/hyperlink" Target="https://wellcometrust.lightning.force.com/lightning/r/Funding_Record__c/a2QQ5000000vGBSMA2/view" TargetMode="External"/><Relationship Id="rId4" Type="http://schemas.openxmlformats.org/officeDocument/2006/relationships/hyperlink" Target="https://wellcome.dimensions.ai/details/grant/grant.10029513?search_mode=content&amp;search_text=Wellcome%20Trust%20218632%2FZ%2F19%2FZ&amp;search_type=kws&amp;search_field=full_search" TargetMode="External"/><Relationship Id="rId180" Type="http://schemas.openxmlformats.org/officeDocument/2006/relationships/hyperlink" Target="https://wellcometrust.lightning.force.com/lightning/r/Funding_Record__c/a2QQ5000000G9OUMA0/view" TargetMode="External"/><Relationship Id="rId215" Type="http://schemas.openxmlformats.org/officeDocument/2006/relationships/hyperlink" Target="https://wellcometrust.lightning.force.com/lightning/r/Funding_Record__c/a2QQ5000000GMO3MAO/view" TargetMode="External"/><Relationship Id="rId236" Type="http://schemas.openxmlformats.org/officeDocument/2006/relationships/hyperlink" Target="https://wellcometrust.lightning.force.com/lightning/r/Funding_Record__c/a2QQ5000000GJPHMA4/view"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wellcometrust.lightning.force.com/lightning/r/Funding_Record__c/a2QQ5000000G6I8MAK/view" TargetMode="External"/><Relationship Id="rId21" Type="http://schemas.openxmlformats.org/officeDocument/2006/relationships/hyperlink" Target="https://wellcome.dimensions.ai/details/grant/grant.3637732?search_mode=content&amp;search_text=Wellcome%20Trust%20084538&amp;search_type=kws&amp;search_field=full_search" TargetMode="External"/><Relationship Id="rId42" Type="http://schemas.openxmlformats.org/officeDocument/2006/relationships/hyperlink" Target="https://wellcome.dimensions.ai/details/grant/grant.4580279?search_mode=content&amp;search_text=106866%2FZ%2F15%2FZ&amp;search_type=kws&amp;search_field=full_search" TargetMode="External"/><Relationship Id="rId63" Type="http://schemas.openxmlformats.org/officeDocument/2006/relationships/hyperlink" Target="https://wellcometrust.lightning.force.com/lightning/r/Funding_Record__c/a2QQ5000000G8l6MAC/view" TargetMode="External"/><Relationship Id="rId84" Type="http://schemas.openxmlformats.org/officeDocument/2006/relationships/hyperlink" Target="https://wellcometrust.lightning.force.com/lightning/r/Funding_Record__c/a2QQ5000000GVmmMAG/view" TargetMode="External"/><Relationship Id="rId138" Type="http://schemas.openxmlformats.org/officeDocument/2006/relationships/hyperlink" Target="https://wellcometrust.lightning.force.com/lightning/r/Funding_Record__c/a2QQ5000000GM3qMAG/view" TargetMode="External"/><Relationship Id="rId159" Type="http://schemas.openxmlformats.org/officeDocument/2006/relationships/hyperlink" Target="https://wellcometrust.lightning.force.com/lightning/r/Funding_Record__c/a2QQ5000000GSkkMAG/view" TargetMode="External"/><Relationship Id="rId170" Type="http://schemas.openxmlformats.org/officeDocument/2006/relationships/hyperlink" Target="https://wellcometrust.lightning.force.com/lightning/r/Funding_Record__c/a2QQ50000013rFJMAY/view" TargetMode="External"/><Relationship Id="rId191" Type="http://schemas.openxmlformats.org/officeDocument/2006/relationships/hyperlink" Target="https://wellcometrust.lightning.force.com/lightning/r/Funding_Record__c/a2QQ5000000GK5CMAW/view" TargetMode="External"/><Relationship Id="rId205" Type="http://schemas.openxmlformats.org/officeDocument/2006/relationships/hyperlink" Target="https://wellcometrust.lightning.force.com/lightning/r/Funding_Record__c/a2QQ5000000GDEiMAO/view" TargetMode="External"/><Relationship Id="rId226" Type="http://schemas.openxmlformats.org/officeDocument/2006/relationships/hyperlink" Target="https://wellcometrust.lightning.force.com/lightning/r/Funding_Record__c/a2QQ5000000GSkkMAG/view" TargetMode="External"/><Relationship Id="rId247" Type="http://schemas.openxmlformats.org/officeDocument/2006/relationships/hyperlink" Target="https://wellcometrust.lightning.force.com/lightning/r/Funding_Record__c/a2QQ5000000GSdNMAW/view" TargetMode="External"/><Relationship Id="rId107" Type="http://schemas.openxmlformats.org/officeDocument/2006/relationships/hyperlink" Target="https://wellcometrust.lightning.force.com/lightning/r/Funding_Record__c/a2QQ5000000GDIGMA4/view" TargetMode="External"/><Relationship Id="rId11" Type="http://schemas.openxmlformats.org/officeDocument/2006/relationships/hyperlink" Target="https://wellcome.dimensions.ai/details/grant/grant.3627306?search_mode=content&amp;search_text=Wellcome%20Trust%20072465%2FZ%2F03%2FZ&amp;search_type=kws&amp;search_field=full_search" TargetMode="External"/><Relationship Id="rId32" Type="http://schemas.openxmlformats.org/officeDocument/2006/relationships/hyperlink" Target="https://wellcome.dimensions.ai/details/grant/grant.3629072?search_mode=content&amp;search_text=Wellcome%20Trust%20081673&amp;search_type=kws&amp;search_field=full_search" TargetMode="External"/><Relationship Id="rId53" Type="http://schemas.openxmlformats.org/officeDocument/2006/relationships/hyperlink" Target="https://wellcometrust.lightning.force.com/lightning/r/Funding_Record__c/a2QQ5000000GCIyMAO/view" TargetMode="External"/><Relationship Id="rId74" Type="http://schemas.openxmlformats.org/officeDocument/2006/relationships/hyperlink" Target="https://wellcometrust.lightning.force.com/lightning/r/Funding_Record__c/a2QQ5000000G5uoMAC/view" TargetMode="External"/><Relationship Id="rId128" Type="http://schemas.openxmlformats.org/officeDocument/2006/relationships/hyperlink" Target="https://wellcometrust.lightning.force.com/lightning/r/Funding_Record__c/a2QQ5000000GXquMAG/view" TargetMode="External"/><Relationship Id="rId149" Type="http://schemas.openxmlformats.org/officeDocument/2006/relationships/hyperlink" Target="https://wellcometrust.lightning.force.com/lightning/r/Funding_Record__c/a2QQ5000000GMudMAG/view" TargetMode="External"/><Relationship Id="rId5" Type="http://schemas.openxmlformats.org/officeDocument/2006/relationships/hyperlink" Target="https://wellcome.dimensions.ai/details/grant/grant.7159274?search_mode=content&amp;search_text=Wellcome%20Trust%20205222%2FZ%2F16%2FZ&amp;search_type=kws&amp;search_field=full_search" TargetMode="External"/><Relationship Id="rId95" Type="http://schemas.openxmlformats.org/officeDocument/2006/relationships/hyperlink" Target="https://wellcometrust.lightning.force.com/lightning/r/Funding_Record__c/a2QQ5000000GSRYMA4/view" TargetMode="External"/><Relationship Id="rId160" Type="http://schemas.openxmlformats.org/officeDocument/2006/relationships/hyperlink" Target="https://wellcometrust.lightning.force.com/lightning/r/Funding_Record__c/a2QQ5000000GM2pMAG/view" TargetMode="External"/><Relationship Id="rId181" Type="http://schemas.openxmlformats.org/officeDocument/2006/relationships/hyperlink" Target="https://wellcometrust.lightning.force.com/lightning/r/Funding_Record__c/a2QQ5000000GLpmMAG/view" TargetMode="External"/><Relationship Id="rId216" Type="http://schemas.openxmlformats.org/officeDocument/2006/relationships/hyperlink" Target="https://wellcometrust.lightning.force.com/lightning/r/Funding_Record__c/a2QQ5000000GQc9MAG/view" TargetMode="External"/><Relationship Id="rId237" Type="http://schemas.openxmlformats.org/officeDocument/2006/relationships/hyperlink" Target="https://wellcometrust.lightning.force.com/lightning/r/Funding_Record__c/a2QQ5000000GPN7MAO/view" TargetMode="External"/><Relationship Id="rId22" Type="http://schemas.openxmlformats.org/officeDocument/2006/relationships/hyperlink" Target="https://wellcome.dimensions.ai/details/grant/grant.8103170?search_mode=content&amp;search_text=Wellcome%20Trust%20210794%2FZ%2F18%2FZ&amp;search_type=kws&amp;search_field=full_search" TargetMode="External"/><Relationship Id="rId43" Type="http://schemas.openxmlformats.org/officeDocument/2006/relationships/hyperlink" Target="https://wellcome.dimensions.ai/details/grant/grant.8103168?search_mode=content&amp;search_text=210758%2FZ%2F18%2FZ&amp;search_type=kws&amp;search_field=full_search" TargetMode="External"/><Relationship Id="rId64" Type="http://schemas.openxmlformats.org/officeDocument/2006/relationships/hyperlink" Target="https://wellcometrust.lightning.force.com/lightning/r/Funding_Record__c/a2QQ5000000GK16MAG/view" TargetMode="External"/><Relationship Id="rId118" Type="http://schemas.openxmlformats.org/officeDocument/2006/relationships/hyperlink" Target="https://wellcometrust.lightning.force.com/lightning/r/Funding_Record__c/a2QQ5000000G6sBMAS/view" TargetMode="External"/><Relationship Id="rId139" Type="http://schemas.openxmlformats.org/officeDocument/2006/relationships/hyperlink" Target="https://wellcometrust.lightning.force.com/lightning/r/Funding_Record__c/a2QQ5000000GAmEMAW/view" TargetMode="External"/><Relationship Id="rId85" Type="http://schemas.openxmlformats.org/officeDocument/2006/relationships/hyperlink" Target="https://wellcometrust.lightning.force.com/lightning/r/Funding_Record__c/a2QQ5000000GMpqMAG/view" TargetMode="External"/><Relationship Id="rId150" Type="http://schemas.openxmlformats.org/officeDocument/2006/relationships/hyperlink" Target="https://wellcometrust.lightning.force.com/lightning/r/Funding_Record__c/a2QQ5000000G9mEMAS/view" TargetMode="External"/><Relationship Id="rId171" Type="http://schemas.openxmlformats.org/officeDocument/2006/relationships/hyperlink" Target="https://wellcometrust.lightning.force.com/lightning/r/Funding_Record__c/a2QQ5000000zm2vMAA/view" TargetMode="External"/><Relationship Id="rId192" Type="http://schemas.openxmlformats.org/officeDocument/2006/relationships/hyperlink" Target="https://wellcometrust.lightning.force.com/lightning/r/Funding_Record__c/a2QQ5000000G9zkMAC/view" TargetMode="External"/><Relationship Id="rId206" Type="http://schemas.openxmlformats.org/officeDocument/2006/relationships/hyperlink" Target="https://wellcometrust.lightning.force.com/lightning/r/Funding_Record__c/a2QQ5000000GNzNMAW/view" TargetMode="External"/><Relationship Id="rId227" Type="http://schemas.openxmlformats.org/officeDocument/2006/relationships/hyperlink" Target="https://wellcometrust.lightning.force.com/lightning/r/Funding_Record__c/a2QQ5000000GON7MAO/view" TargetMode="External"/><Relationship Id="rId248" Type="http://schemas.openxmlformats.org/officeDocument/2006/relationships/hyperlink" Target="https://wellcometrust.lightning.force.com/lightning/r/Funding_Record__c/a2QQ5000000GE88MAG/view" TargetMode="External"/><Relationship Id="rId12" Type="http://schemas.openxmlformats.org/officeDocument/2006/relationships/hyperlink" Target="https://wellcome.dimensions.ai/details/grant/grant.3633056?search_mode=content&amp;search_text=Wellcome%20Trust%20033340&amp;search_type=kws&amp;search_field=full_search" TargetMode="External"/><Relationship Id="rId33" Type="http://schemas.openxmlformats.org/officeDocument/2006/relationships/hyperlink" Target="https://wellcome.dimensions.ai/details/grant/grant.3632956?search_mode=content&amp;search_text=Wellcome%20Trust%20077092&amp;search_type=kws&amp;search_field=full_search" TargetMode="External"/><Relationship Id="rId108" Type="http://schemas.openxmlformats.org/officeDocument/2006/relationships/hyperlink" Target="https://wellcometrust.lightning.force.com/lightning/r/Funding_Record__c/a2QQ5000000MK05MAG/view" TargetMode="External"/><Relationship Id="rId129" Type="http://schemas.openxmlformats.org/officeDocument/2006/relationships/hyperlink" Target="https://wellcometrust.lightning.force.com/lightning/r/Funding_Record__c/a2QQ5000000GXYSMA4/view" TargetMode="External"/><Relationship Id="rId54" Type="http://schemas.openxmlformats.org/officeDocument/2006/relationships/hyperlink" Target="https://wellcometrust.lightning.force.com/lightning/r/Funding_Record__c/a2QQ5000000GH9XMAW/view" TargetMode="External"/><Relationship Id="rId75" Type="http://schemas.openxmlformats.org/officeDocument/2006/relationships/hyperlink" Target="https://wellcometrust.lightning.force.com/lightning/r/Funding_Record__c/a2QQ5000000FvOIMA0/view" TargetMode="External"/><Relationship Id="rId96" Type="http://schemas.openxmlformats.org/officeDocument/2006/relationships/hyperlink" Target="https://wellcometrust.lightning.force.com/lightning/r/Funding_Record__c/a2QQ5000000GUyvMAG/view" TargetMode="External"/><Relationship Id="rId140" Type="http://schemas.openxmlformats.org/officeDocument/2006/relationships/hyperlink" Target="https://wellcometrust.lightning.force.com/lightning/r/Funding_Record__c/a2QQ5000000GE88MAG/view" TargetMode="External"/><Relationship Id="rId161" Type="http://schemas.openxmlformats.org/officeDocument/2006/relationships/hyperlink" Target="https://wellcometrust.lightning.force.com/lightning/r/Funding_Record__c/a2QQ5000000G63dMAC/view" TargetMode="External"/><Relationship Id="rId182" Type="http://schemas.openxmlformats.org/officeDocument/2006/relationships/hyperlink" Target="https://wellcometrust.lightning.force.com/lightning/r/Funding_Record__c/a2QQ5000000GFlxMAG/view" TargetMode="External"/><Relationship Id="rId217" Type="http://schemas.openxmlformats.org/officeDocument/2006/relationships/hyperlink" Target="https://wellcometrust.lightning.force.com/lightning/r/Funding_Record__c/a2QQ5000000Ga5qMAC/view" TargetMode="External"/><Relationship Id="rId6" Type="http://schemas.openxmlformats.org/officeDocument/2006/relationships/hyperlink" Target="https://wellcome.dimensions.ai/details/grant/grant.6665177?search_mode=content&amp;search_text=Wellcome%20Trust%20107742%2FZ%2F15%2FZ&amp;search_type=kws&amp;search_field=full_search" TargetMode="External"/><Relationship Id="rId238" Type="http://schemas.openxmlformats.org/officeDocument/2006/relationships/hyperlink" Target="https://wellcometrust.lightning.force.com/lightning/r/Funding_Record__c/a2QQ5000000GBZWMA4/view" TargetMode="External"/><Relationship Id="rId23" Type="http://schemas.openxmlformats.org/officeDocument/2006/relationships/hyperlink" Target="https://wellcome.dimensions.ai/details/grant/grant.4580498?search_mode=content&amp;search_text=Wellcome%20Trust%20106854%2FZ%2F15%2FZ&amp;search_type=kws&amp;search_field=full_search" TargetMode="External"/><Relationship Id="rId119" Type="http://schemas.openxmlformats.org/officeDocument/2006/relationships/hyperlink" Target="https://wellcometrust.lightning.force.com/lightning/r/Funding_Record__c/a2QQ5000000GRqWMAW/view" TargetMode="External"/><Relationship Id="rId44" Type="http://schemas.openxmlformats.org/officeDocument/2006/relationships/hyperlink" Target="https://wellcome.dimensions.ai/details/grant/grant.3634146?search_mode=content&amp;search_text=079091&amp;search_type=kws&amp;search_field=full_search" TargetMode="External"/><Relationship Id="rId65" Type="http://schemas.openxmlformats.org/officeDocument/2006/relationships/hyperlink" Target="https://wellcometrust.lightning.force.com/lightning/r/Funding_Record__c/a2QQ5000000GJc4MAG/view" TargetMode="External"/><Relationship Id="rId86" Type="http://schemas.openxmlformats.org/officeDocument/2006/relationships/hyperlink" Target="https://wellcometrust.lightning.force.com/lightning/r/Funding_Record__c/a2QQ5000000GD3FMAW/view" TargetMode="External"/><Relationship Id="rId130" Type="http://schemas.openxmlformats.org/officeDocument/2006/relationships/hyperlink" Target="https://wellcometrust.lightning.force.com/lightning/r/Funding_Record__c/a2QQ5000000GGaJMAW/view" TargetMode="External"/><Relationship Id="rId151" Type="http://schemas.openxmlformats.org/officeDocument/2006/relationships/hyperlink" Target="https://wellcometrust.lightning.force.com/lightning/r/Funding_Record__c/a2QQ5000000GUOVMA4/view" TargetMode="External"/><Relationship Id="rId172" Type="http://schemas.openxmlformats.org/officeDocument/2006/relationships/hyperlink" Target="https://wellcometrust.lightning.force.com/lightning/r/Funding_Record__c/a2QQ5000000zcgHMAQ/view" TargetMode="External"/><Relationship Id="rId193" Type="http://schemas.openxmlformats.org/officeDocument/2006/relationships/hyperlink" Target="https://wellcometrust.lightning.force.com/lightning/r/Funding_Record__c/a2QQ5000000GUJsMAO/view" TargetMode="External"/><Relationship Id="rId207" Type="http://schemas.openxmlformats.org/officeDocument/2006/relationships/hyperlink" Target="https://wellcometrust.lightning.force.com/lightning/r/Funding_Record__c/a2QQ5000000GSMNMA4/view" TargetMode="External"/><Relationship Id="rId228" Type="http://schemas.openxmlformats.org/officeDocument/2006/relationships/hyperlink" Target="https://wellcometrust.lightning.force.com/lightning/r/Funding_Record__c/a2QQ5000000GTknMAG/view" TargetMode="External"/><Relationship Id="rId249" Type="http://schemas.openxmlformats.org/officeDocument/2006/relationships/hyperlink" Target="https://wellcometrust.lightning.force.com/lightning/r/Funding_Record__c/a2QQ5000000GIkSMAW/view" TargetMode="External"/><Relationship Id="rId13" Type="http://schemas.openxmlformats.org/officeDocument/2006/relationships/hyperlink" Target="https://wellcome.dimensions.ai/details/grant/grant.10029249?search_mode=content&amp;search_text=Wellcome%20Trust%20216033-Z-19-Z&amp;search_type=kws&amp;search_field=full_search" TargetMode="External"/><Relationship Id="rId109" Type="http://schemas.openxmlformats.org/officeDocument/2006/relationships/hyperlink" Target="https://wellcometrust.lightning.force.com/lightning/r/Funding_Record__c/a2QQ5000000GNjqMAG/view" TargetMode="External"/><Relationship Id="rId34" Type="http://schemas.openxmlformats.org/officeDocument/2006/relationships/hyperlink" Target="https://wellcome.dimensions.ai/details/grant/grant.3627577?search_mode=content&amp;search_text=Wellcome%20Trust%20070696%2FZ%2F03%2FZ&amp;search_type=kws&amp;search_field=full_search" TargetMode="External"/><Relationship Id="rId55" Type="http://schemas.openxmlformats.org/officeDocument/2006/relationships/hyperlink" Target="https://wellcometrust.lightning.force.com/lightning/r/Funding_Record__c/a2QQ5000000G8kcMAC/view" TargetMode="External"/><Relationship Id="rId76" Type="http://schemas.openxmlformats.org/officeDocument/2006/relationships/hyperlink" Target="https://wellcometrust.lightning.force.com/lightning/r/Funding_Record__c/a2QQ5000000GLREMA4/view" TargetMode="External"/><Relationship Id="rId97" Type="http://schemas.openxmlformats.org/officeDocument/2006/relationships/hyperlink" Target="https://wellcometrust.lightning.force.com/lightning/r/Funding_Record__c/a2QQ5000000GLv2MAG/view" TargetMode="External"/><Relationship Id="rId120" Type="http://schemas.openxmlformats.org/officeDocument/2006/relationships/hyperlink" Target="https://wellcometrust.lightning.force.com/lightning/r/Funding_Record__c/a2QQ5000000GPUVMA4/view" TargetMode="External"/><Relationship Id="rId141" Type="http://schemas.openxmlformats.org/officeDocument/2006/relationships/hyperlink" Target="https://wellcometrust.lightning.force.com/lightning/r/Funding_Record__c/a2QQ5000000GVGkMAO/view" TargetMode="External"/><Relationship Id="rId7" Type="http://schemas.openxmlformats.org/officeDocument/2006/relationships/hyperlink" Target="https://wellcome.dimensions.ai/details/grant/grant.4580792?search_mode=content&amp;search_text=Wellcome%20Trust%20106871%2FZ%2F15%2FZ&amp;search_type=kws&amp;search_field=full_search" TargetMode="External"/><Relationship Id="rId162" Type="http://schemas.openxmlformats.org/officeDocument/2006/relationships/hyperlink" Target="https://wellcometrust.lightning.force.com/lightning/r/Funding_Record__c/a2QQ5000000GGoOMAW/view" TargetMode="External"/><Relationship Id="rId183" Type="http://schemas.openxmlformats.org/officeDocument/2006/relationships/hyperlink" Target="https://wellcometrust.lightning.force.com/lightning/r/Funding_Record__c/a2QQ5000000GCfwMAG/view" TargetMode="External"/><Relationship Id="rId218" Type="http://schemas.openxmlformats.org/officeDocument/2006/relationships/hyperlink" Target="https://wellcometrust.lightning.force.com/lightning/r/Funding_Record__c/a2QQ5000000GPoZMAW/view" TargetMode="External"/><Relationship Id="rId239" Type="http://schemas.openxmlformats.org/officeDocument/2006/relationships/hyperlink" Target="https://wellcometrust.lightning.force.com/lightning/r/Funding_Record__c/a2QQ5000000GUUeMAO/view" TargetMode="External"/><Relationship Id="rId250" Type="http://schemas.openxmlformats.org/officeDocument/2006/relationships/hyperlink" Target="https://wellcometrust.lightning.force.com/lightning/r/Funding_Record__c/a2QQ5000000GNicMAG/view" TargetMode="External"/><Relationship Id="rId24" Type="http://schemas.openxmlformats.org/officeDocument/2006/relationships/hyperlink" Target="https://wellcome.dimensions.ai/details/grant/grant.3632945?search_mode=content&amp;search_text=Wellcome%20Trust%20078925&amp;search_type=kws&amp;search_field=full_search" TargetMode="External"/><Relationship Id="rId45" Type="http://schemas.openxmlformats.org/officeDocument/2006/relationships/hyperlink" Target="https://wellcome.dimensions.ai/details/grant/grant.3635759?search_mode=content&amp;search_text=092654&amp;search_type=kws&amp;search_field=full_search" TargetMode="External"/><Relationship Id="rId66" Type="http://schemas.openxmlformats.org/officeDocument/2006/relationships/hyperlink" Target="https://wellcometrust.lightning.force.com/lightning/r/Funding_Record__c/a2QQ5000000GQaHMAW/view" TargetMode="External"/><Relationship Id="rId87" Type="http://schemas.openxmlformats.org/officeDocument/2006/relationships/hyperlink" Target="https://wellcometrust.lightning.force.com/lightning/r/Funding_Record__c/a2QQ5000000GP7aMAG/view" TargetMode="External"/><Relationship Id="rId110" Type="http://schemas.openxmlformats.org/officeDocument/2006/relationships/hyperlink" Target="https://wellcometrust.lightning.force.com/lightning/r/Funding_Record__c/a2QQ5000000GTsTMAW/view" TargetMode="External"/><Relationship Id="rId131" Type="http://schemas.openxmlformats.org/officeDocument/2006/relationships/hyperlink" Target="https://wellcometrust.lightning.force.com/lightning/r/Funding_Record__c/a2QQ5000000GQoWMAW/view" TargetMode="External"/><Relationship Id="rId152" Type="http://schemas.openxmlformats.org/officeDocument/2006/relationships/hyperlink" Target="https://wellcometrust.lightning.force.com/lightning/r/Funding_Record__c/a2QQ5000000GZy2MAG/view" TargetMode="External"/><Relationship Id="rId173" Type="http://schemas.openxmlformats.org/officeDocument/2006/relationships/hyperlink" Target="https://wellcometrust.lightning.force.com/lightning/r/Funding_Record__c/a2QQ5000000G6lKMAS/view" TargetMode="External"/><Relationship Id="rId194" Type="http://schemas.openxmlformats.org/officeDocument/2006/relationships/hyperlink" Target="https://wellcometrust.lightning.force.com/lightning/r/Funding_Record__c/a2QQ5000000GAhpMAG/view" TargetMode="External"/><Relationship Id="rId208" Type="http://schemas.openxmlformats.org/officeDocument/2006/relationships/hyperlink" Target="https://wellcometrust.lightning.force.com/lightning/r/Funding_Record__c/a2QQ5000000GYKzMAO/view" TargetMode="External"/><Relationship Id="rId229" Type="http://schemas.openxmlformats.org/officeDocument/2006/relationships/hyperlink" Target="https://wellcometrust.lightning.force.com/lightning/r/Funding_Record__c/a2QQ5000000GQRSMA4/view" TargetMode="External"/><Relationship Id="rId240" Type="http://schemas.openxmlformats.org/officeDocument/2006/relationships/hyperlink" Target="https://wellcometrust.lightning.force.com/lightning/r/Funding_Record__c/a2QQ5000000GMABMA4/view" TargetMode="External"/><Relationship Id="rId14" Type="http://schemas.openxmlformats.org/officeDocument/2006/relationships/hyperlink" Target="https://wellcome.dimensions.ai/details/grant/grant.8558599?search_mode=content&amp;search_text=Wellcome%20Trust%20216014%2FZ%2F19%2FZ&amp;search_type=kws&amp;search_field=full_search" TargetMode="External"/><Relationship Id="rId35" Type="http://schemas.openxmlformats.org/officeDocument/2006/relationships/hyperlink" Target="https://wellcome.dimensions.ai/details/grant/grant.3630122?search_mode=content&amp;search_text=Wellcome%20Trust%20076951&amp;search_type=kws&amp;search_field=full_search" TargetMode="External"/><Relationship Id="rId56" Type="http://schemas.openxmlformats.org/officeDocument/2006/relationships/hyperlink" Target="https://wellcometrust.lightning.force.com/lightning/r/Funding_Record__c/a2QQ5000000GMrzMAG/view" TargetMode="External"/><Relationship Id="rId77" Type="http://schemas.openxmlformats.org/officeDocument/2006/relationships/hyperlink" Target="https://wellcometrust.lightning.force.com/lightning/r/Funding_Record__c/a2QQ5000000GJmoMAG/view" TargetMode="External"/><Relationship Id="rId100" Type="http://schemas.openxmlformats.org/officeDocument/2006/relationships/hyperlink" Target="https://wellcometrust.lightning.force.com/lightning/r/Funding_Record__c/a2QQ5000000GH4DMAW/view" TargetMode="External"/><Relationship Id="rId8" Type="http://schemas.openxmlformats.org/officeDocument/2006/relationships/hyperlink" Target="https://wellcome.dimensions.ai/details/grant/grant.3637484?search_mode=content&amp;search_text=Wellcome%20Trust%20103932&amp;search_type=kws&amp;search_field=full_search" TargetMode="External"/><Relationship Id="rId98" Type="http://schemas.openxmlformats.org/officeDocument/2006/relationships/hyperlink" Target="https://wellcometrust.lightning.force.com/lightning/r/Funding_Record__c/a2QQ5000000GO4fMAG/view" TargetMode="External"/><Relationship Id="rId121" Type="http://schemas.openxmlformats.org/officeDocument/2006/relationships/hyperlink" Target="https://wellcometrust.lightning.force.com/lightning/r/Funding_Record__c/a2QQ5000000GC6WMAW/view" TargetMode="External"/><Relationship Id="rId142" Type="http://schemas.openxmlformats.org/officeDocument/2006/relationships/hyperlink" Target="https://wellcometrust.lightning.force.com/lightning/r/Funding_Record__c/a2QQ5000000GI8CMAW/view" TargetMode="External"/><Relationship Id="rId163" Type="http://schemas.openxmlformats.org/officeDocument/2006/relationships/hyperlink" Target="https://wellcometrust.lightning.force.com/lightning/r/Funding_Record__c/a2QQ5000000GBXvMAO/view" TargetMode="External"/><Relationship Id="rId184" Type="http://schemas.openxmlformats.org/officeDocument/2006/relationships/hyperlink" Target="https://wellcometrust.lightning.force.com/lightning/r/Funding_Record__c/a2QQ5000000GLHJMA4/view" TargetMode="External"/><Relationship Id="rId219" Type="http://schemas.openxmlformats.org/officeDocument/2006/relationships/hyperlink" Target="https://wellcometrust.lightning.force.com/lightning/r/Funding_Record__c/a2QQ5000000GMC1MAO/view" TargetMode="External"/><Relationship Id="rId230" Type="http://schemas.openxmlformats.org/officeDocument/2006/relationships/hyperlink" Target="https://wellcometrust.lightning.force.com/lightning/r/Funding_Record__c/a2QQ5000000G6PXMA0/view" TargetMode="External"/><Relationship Id="rId251" Type="http://schemas.openxmlformats.org/officeDocument/2006/relationships/hyperlink" Target="https://wellcometrust.lightning.force.com/lightning/r/Funding_Record__c/a2QQ5000000G8B1MAK/view" TargetMode="External"/><Relationship Id="rId25" Type="http://schemas.openxmlformats.org/officeDocument/2006/relationships/hyperlink" Target="https://wellcome.dimensions.ai/details/grant/grant.7159261?search_mode=content&amp;search_text=Wellcome%20Trust%20205177&amp;search_type=kws&amp;search_field=full_search" TargetMode="External"/><Relationship Id="rId46" Type="http://schemas.openxmlformats.org/officeDocument/2006/relationships/hyperlink" Target="https://wellcome.dimensions.ai/details/grant/grant.3639126?search_mode=content&amp;search_text=095066&amp;search_type=kws&amp;search_field=full_search" TargetMode="External"/><Relationship Id="rId67" Type="http://schemas.openxmlformats.org/officeDocument/2006/relationships/hyperlink" Target="https://wellcometrust.lightning.force.com/lightning/r/Funding_Record__c/a2QQ5000000GJY7MAO/view" TargetMode="External"/><Relationship Id="rId88" Type="http://schemas.openxmlformats.org/officeDocument/2006/relationships/hyperlink" Target="https://wellcometrust.lightning.force.com/lightning/r/Funding_Record__c/a2QQ5000000GWjyMAG/view" TargetMode="External"/><Relationship Id="rId111" Type="http://schemas.openxmlformats.org/officeDocument/2006/relationships/hyperlink" Target="https://wellcometrust.lightning.force.com/lightning/r/Funding_Record__c/a2QQ5000000GUMyMAO/view" TargetMode="External"/><Relationship Id="rId132" Type="http://schemas.openxmlformats.org/officeDocument/2006/relationships/hyperlink" Target="https://wellcometrust.lightning.force.com/lightning/r/Funding_Record__c/a2QQ5000000GIqzMAG/view" TargetMode="External"/><Relationship Id="rId153" Type="http://schemas.openxmlformats.org/officeDocument/2006/relationships/hyperlink" Target="https://wellcometrust.lightning.force.com/lightning/r/Funding_Record__c/a2QQ5000000GQfpMAG/view" TargetMode="External"/><Relationship Id="rId174" Type="http://schemas.openxmlformats.org/officeDocument/2006/relationships/hyperlink" Target="https://wellcometrust.lightning.force.com/lightning/r/Funding_Record__c/a2QQ5000000GMEPMA4/view" TargetMode="External"/><Relationship Id="rId195" Type="http://schemas.openxmlformats.org/officeDocument/2006/relationships/hyperlink" Target="https://wellcometrust.lightning.force.com/lightning/r/Funding_Record__c/a2QQ5000000GWXJMA4/view" TargetMode="External"/><Relationship Id="rId209" Type="http://schemas.openxmlformats.org/officeDocument/2006/relationships/hyperlink" Target="https://wellcometrust.lightning.force.com/lightning/r/Funding_Record__c/a2QQ5000000G9JGMA0/view" TargetMode="External"/><Relationship Id="rId220" Type="http://schemas.openxmlformats.org/officeDocument/2006/relationships/hyperlink" Target="https://wellcometrust.lightning.force.com/lightning/r/Funding_Record__c/a2QQ5000000GYvpMAG/view" TargetMode="External"/><Relationship Id="rId241" Type="http://schemas.openxmlformats.org/officeDocument/2006/relationships/hyperlink" Target="https://wellcometrust.lightning.force.com/lightning/r/Funding_Record__c/a2QQ5000000GJYtMAO/view" TargetMode="External"/><Relationship Id="rId15" Type="http://schemas.openxmlformats.org/officeDocument/2006/relationships/hyperlink" Target="https://wellcome.dimensions.ai/details/grant/grant.10029131?search_mode=content&amp;search_text=Wellcome%20Trust%20215022%2FZ%2F18%2FZ&amp;search_type=kws&amp;search_field=full_search" TargetMode="External"/><Relationship Id="rId36" Type="http://schemas.openxmlformats.org/officeDocument/2006/relationships/hyperlink" Target="https://wellcome.dimensions.ai/details/grant/grant.3626019?search_mode=content&amp;search_text=Wellcome%20Trust%20076583%2FZ%2F05%2FZ&amp;search_type=kws&amp;search_field=full_search" TargetMode="External"/><Relationship Id="rId57" Type="http://schemas.openxmlformats.org/officeDocument/2006/relationships/hyperlink" Target="https://wellcometrust.lightning.force.com/lightning/r/Funding_Record__c/a2QQ5000000GIGtMAO/view" TargetMode="External"/><Relationship Id="rId78" Type="http://schemas.openxmlformats.org/officeDocument/2006/relationships/hyperlink" Target="https://wellcometrust.lightning.force.com/lightning/r/Funding_Record__c/a2QQ5000000GGXKMA4/view" TargetMode="External"/><Relationship Id="rId99" Type="http://schemas.openxmlformats.org/officeDocument/2006/relationships/hyperlink" Target="https://wellcometrust.lightning.force.com/lightning/r/Funding_Record__c/a2QQ5000000GQCYMA4/view" TargetMode="External"/><Relationship Id="rId101" Type="http://schemas.openxmlformats.org/officeDocument/2006/relationships/hyperlink" Target="https://wellcometrust.lightning.force.com/lightning/r/Funding_Record__c/a2QQ5000001LVeXMAW/view" TargetMode="External"/><Relationship Id="rId122" Type="http://schemas.openxmlformats.org/officeDocument/2006/relationships/hyperlink" Target="https://wellcometrust.lightning.force.com/lightning/r/Funding_Record__c/a2QQ5000000GBRoMAO/view" TargetMode="External"/><Relationship Id="rId143" Type="http://schemas.openxmlformats.org/officeDocument/2006/relationships/hyperlink" Target="https://wellcometrust.lightning.force.com/lightning/r/Funding_Record__c/a2QQ5000000GHgoMAG/view" TargetMode="External"/><Relationship Id="rId164" Type="http://schemas.openxmlformats.org/officeDocument/2006/relationships/hyperlink" Target="https://wellcometrust.lightning.force.com/lightning/r/Funding_Record__c/a2QQ5000000GMEQMA4/view" TargetMode="External"/><Relationship Id="rId185" Type="http://schemas.openxmlformats.org/officeDocument/2006/relationships/hyperlink" Target="https://wellcometrust.lightning.force.com/lightning/r/Funding_Record__c/a2QQ5000000GI7ZMAW/view" TargetMode="External"/><Relationship Id="rId9" Type="http://schemas.openxmlformats.org/officeDocument/2006/relationships/hyperlink" Target="https://wellcome.dimensions.ai/details/grant/grant.3637460?search_mode=content&amp;search_text=Wellcome%20Trust%20100891&amp;search_type=kws&amp;search_field=full_search" TargetMode="External"/><Relationship Id="rId210" Type="http://schemas.openxmlformats.org/officeDocument/2006/relationships/hyperlink" Target="https://wellcometrust.lightning.force.com/lightning/r/Funding_Record__c/a2QQ5000000GESfMAO/view" TargetMode="External"/><Relationship Id="rId26" Type="http://schemas.openxmlformats.org/officeDocument/2006/relationships/hyperlink" Target="https://wellcome.dimensions.ai/details/grant/grant.3639894?search_mode=content&amp;search_text=Wellcome%20Trust%20098045&amp;search_type=kws&amp;search_field=full_search" TargetMode="External"/><Relationship Id="rId231" Type="http://schemas.openxmlformats.org/officeDocument/2006/relationships/hyperlink" Target="https://wellcometrust.lightning.force.com/lightning/r/Funding_Record__c/a2QQ5000000GICcMAO/view" TargetMode="External"/><Relationship Id="rId252" Type="http://schemas.openxmlformats.org/officeDocument/2006/relationships/printerSettings" Target="../printerSettings/printerSettings2.bin"/><Relationship Id="rId47" Type="http://schemas.openxmlformats.org/officeDocument/2006/relationships/hyperlink" Target="https://wellcome.dimensions.ai/details/grant/grant.3634803?search_mode=content&amp;search_text=079080&amp;search_type=kws&amp;search_field=full_search" TargetMode="External"/><Relationship Id="rId68" Type="http://schemas.openxmlformats.org/officeDocument/2006/relationships/hyperlink" Target="https://wellcometrust.lightning.force.com/lightning/r/Funding_Record__c/a2QQ5000000GHzFMAW/view" TargetMode="External"/><Relationship Id="rId89" Type="http://schemas.openxmlformats.org/officeDocument/2006/relationships/hyperlink" Target="https://wellcometrust.lightning.force.com/lightning/r/Funding_Record__c/a2QQ5000000GXo8MAG/view" TargetMode="External"/><Relationship Id="rId112" Type="http://schemas.openxmlformats.org/officeDocument/2006/relationships/hyperlink" Target="https://wellcometrust.lightning.force.com/lightning/r/Funding_Record__c/a2Q8d00000OCJ5pEAH/view" TargetMode="External"/><Relationship Id="rId133" Type="http://schemas.openxmlformats.org/officeDocument/2006/relationships/hyperlink" Target="https://wellcometrust.lightning.force.com/lightning/r/Funding_Record__c/a2QQ5000000GOe6MAG/view" TargetMode="External"/><Relationship Id="rId154" Type="http://schemas.openxmlformats.org/officeDocument/2006/relationships/hyperlink" Target="https://wellcometrust.lightning.force.com/lightning/r/Funding_Record__c/a2QQ5000000GSdNMAW/view" TargetMode="External"/><Relationship Id="rId175" Type="http://schemas.openxmlformats.org/officeDocument/2006/relationships/hyperlink" Target="https://wellcometrust.lightning.force.com/lightning/r/Funding_Record__c/a2QQ5000000GT7GMAW/view" TargetMode="External"/><Relationship Id="rId196" Type="http://schemas.openxmlformats.org/officeDocument/2006/relationships/hyperlink" Target="https://wellcometrust.lightning.force.com/lightning/r/Funding_Record__c/a2QQ5000001uHdVMAU/view" TargetMode="External"/><Relationship Id="rId200" Type="http://schemas.openxmlformats.org/officeDocument/2006/relationships/hyperlink" Target="https://wellcometrust.lightning.force.com/lightning/r/Funding_Record__c/a2QQ5000000GP8rMAG/view" TargetMode="External"/><Relationship Id="rId16" Type="http://schemas.openxmlformats.org/officeDocument/2006/relationships/hyperlink" Target="https://wellcome.dimensions.ai/details/grant/grant.8104022?search_mode=content&amp;search_text=Wellcome%20Trust%20213494%2FZ%2F18%2FZ&amp;search_type=kws&amp;search_field=full_search" TargetMode="External"/><Relationship Id="rId221" Type="http://schemas.openxmlformats.org/officeDocument/2006/relationships/hyperlink" Target="https://wellcometrust.lightning.force.com/lightning/r/Funding_Record__c/a2QQ5000000G5BpMAK/view" TargetMode="External"/><Relationship Id="rId242" Type="http://schemas.openxmlformats.org/officeDocument/2006/relationships/hyperlink" Target="https://wellcometrust.lightning.force.com/lightning/r/Funding_Record__c/a2QQ5000000GSLUMA4/view" TargetMode="External"/><Relationship Id="rId37" Type="http://schemas.openxmlformats.org/officeDocument/2006/relationships/hyperlink" Target="https://wellcome.dimensions.ai/details/grant/grant.3642065?search_mode=content&amp;search_text=Wellcome%20Trust%20089276&amp;search_type=kws&amp;search_field=full_search" TargetMode="External"/><Relationship Id="rId58" Type="http://schemas.openxmlformats.org/officeDocument/2006/relationships/hyperlink" Target="https://wellcometrust.lightning.force.com/lightning/r/Funding_Record__c/a2QQ5000001ISA9MAO/view" TargetMode="External"/><Relationship Id="rId79" Type="http://schemas.openxmlformats.org/officeDocument/2006/relationships/hyperlink" Target="https://wellcometrust.lightning.force.com/lightning/r/Funding_Record__c/a2QQ5000000G5OyMAK/view" TargetMode="External"/><Relationship Id="rId102" Type="http://schemas.openxmlformats.org/officeDocument/2006/relationships/hyperlink" Target="https://wellcometrust.lightning.force.com/lightning/r/Funding_Record__c/a2Q8d00000RxZ28EAF/view" TargetMode="External"/><Relationship Id="rId123" Type="http://schemas.openxmlformats.org/officeDocument/2006/relationships/hyperlink" Target="https://wellcometrust.lightning.force.com/lightning/r/Funding_Record__c/a2QQ5000000GPHCMA4/view" TargetMode="External"/><Relationship Id="rId144" Type="http://schemas.openxmlformats.org/officeDocument/2006/relationships/hyperlink" Target="https://wellcometrust.lightning.force.com/lightning/r/Funding_Record__c/a2QQ5000000GIkSMAW/view" TargetMode="External"/><Relationship Id="rId90" Type="http://schemas.openxmlformats.org/officeDocument/2006/relationships/hyperlink" Target="https://wellcometrust.lightning.force.com/lightning/r/Funding_Record__c/a2QQ5000000G948MAC/view" TargetMode="External"/><Relationship Id="rId165" Type="http://schemas.openxmlformats.org/officeDocument/2006/relationships/hyperlink" Target="https://wellcometrust.lightning.force.com/lightning/r/Funding_Record__c/a2QQ5000000GDswMAG/view" TargetMode="External"/><Relationship Id="rId186" Type="http://schemas.openxmlformats.org/officeDocument/2006/relationships/hyperlink" Target="https://wellcometrust.lightning.force.com/lightning/r/Funding_Record__c/a2QQ5000000GF5dMAG/view" TargetMode="External"/><Relationship Id="rId211" Type="http://schemas.openxmlformats.org/officeDocument/2006/relationships/hyperlink" Target="https://wellcometrust.lightning.force.com/lightning/r/Funding_Record__c/a2QQ5000000GIfDMAW/view" TargetMode="External"/><Relationship Id="rId232" Type="http://schemas.openxmlformats.org/officeDocument/2006/relationships/hyperlink" Target="https://wellcometrust.lightning.force.com/lightning/r/Funding_Record__c/a2QQ5000000GLqjMAG/view" TargetMode="External"/><Relationship Id="rId253" Type="http://schemas.openxmlformats.org/officeDocument/2006/relationships/vmlDrawing" Target="../drawings/vmlDrawing2.vml"/><Relationship Id="rId27" Type="http://schemas.openxmlformats.org/officeDocument/2006/relationships/hyperlink" Target="https://wellcome.dimensions.ai/details/grant/grant.10029544?search_mode=content&amp;search_text=Wellcome%20Trust%20218743%2FZ%2F19%2FZ&amp;search_type=kws&amp;search_field=full_search" TargetMode="External"/><Relationship Id="rId48" Type="http://schemas.openxmlformats.org/officeDocument/2006/relationships/hyperlink" Target="https://wellcome.dimensions.ai/details/grant/grant.4580203?search_mode=content&amp;search_text=107769%2FZ%2F15%2FZ&amp;search_type=kws&amp;search_field=full_search" TargetMode="External"/><Relationship Id="rId69" Type="http://schemas.openxmlformats.org/officeDocument/2006/relationships/hyperlink" Target="https://wellcometrust.lightning.force.com/lightning/r/Funding_Record__c/a2QQ5000000GY6lMAG/view" TargetMode="External"/><Relationship Id="rId113" Type="http://schemas.openxmlformats.org/officeDocument/2006/relationships/hyperlink" Target="https://wellcometrust.lightning.force.com/lightning/r/Funding_Record__c/a2QQ5000000G9biMAC/view" TargetMode="External"/><Relationship Id="rId134" Type="http://schemas.openxmlformats.org/officeDocument/2006/relationships/hyperlink" Target="https://wellcometrust.lightning.force.com/lightning/r/Funding_Record__c/a2QQ5000000GKmPMAW/view" TargetMode="External"/><Relationship Id="rId80" Type="http://schemas.openxmlformats.org/officeDocument/2006/relationships/hyperlink" Target="https://wellcometrust.lightning.force.com/lightning/r/Funding_Record__c/a2QQ5000000GEZSMA4/view" TargetMode="External"/><Relationship Id="rId155" Type="http://schemas.openxmlformats.org/officeDocument/2006/relationships/hyperlink" Target="https://wellcometrust.lightning.force.com/lightning/r/Funding_Record__c/a2QQ5000000GLjYMAW/view" TargetMode="External"/><Relationship Id="rId176" Type="http://schemas.openxmlformats.org/officeDocument/2006/relationships/hyperlink" Target="https://wellcometrust.lightning.force.com/lightning/r/Funding_Record__c/a2QQ5000000GNvEMAW/view" TargetMode="External"/><Relationship Id="rId197" Type="http://schemas.openxmlformats.org/officeDocument/2006/relationships/hyperlink" Target="https://wellcometrust.lightning.force.com/lightning/r/Funding_Record__c/a2QQ5000000GWLsMAO/view" TargetMode="External"/><Relationship Id="rId201" Type="http://schemas.openxmlformats.org/officeDocument/2006/relationships/hyperlink" Target="https://wellcometrust.lightning.force.com/lightning/r/Funding_Record__c/a2QQ5000000GIR9MAO/view" TargetMode="External"/><Relationship Id="rId222" Type="http://schemas.openxmlformats.org/officeDocument/2006/relationships/hyperlink" Target="https://wellcometrust.lightning.force.com/lightning/r/Funding_Record__c/a2QQ5000000GF1QMAW/view" TargetMode="External"/><Relationship Id="rId243" Type="http://schemas.openxmlformats.org/officeDocument/2006/relationships/hyperlink" Target="https://wellcometrust.lightning.force.com/lightning/r/Funding_Record__c/a2QQ5000000GRvdMAG/view" TargetMode="External"/><Relationship Id="rId17" Type="http://schemas.openxmlformats.org/officeDocument/2006/relationships/hyperlink" Target="https://wellcome.dimensions.ai/details/grant/grant.6666215?search_mode=content&amp;search_text=Wellcome%20Trust%20203077%2FZ%2F16%2FZ&amp;search_type=kws&amp;search_field=full_search" TargetMode="External"/><Relationship Id="rId38" Type="http://schemas.openxmlformats.org/officeDocument/2006/relationships/hyperlink" Target="https://wellcome.dimensions.ai/details/grant/grant.3640427?search_mode=content&amp;search_text=085308&amp;search_type=kws&amp;search_field=full_search" TargetMode="External"/><Relationship Id="rId59" Type="http://schemas.openxmlformats.org/officeDocument/2006/relationships/hyperlink" Target="https://wellcometrust.lightning.force.com/lightning/r/Funding_Record__c/a2QQ5000000GZiBMAW/view" TargetMode="External"/><Relationship Id="rId103" Type="http://schemas.openxmlformats.org/officeDocument/2006/relationships/hyperlink" Target="https://wellcometrust.lightning.force.com/lightning/r/Funding_Record__c/a2QQ5000000GXFHMA4/view" TargetMode="External"/><Relationship Id="rId124" Type="http://schemas.openxmlformats.org/officeDocument/2006/relationships/hyperlink" Target="https://wellcometrust.lightning.force.com/lightning/r/Funding_Record__c/a2QQ5000000GKmzMAG/view" TargetMode="External"/><Relationship Id="rId70" Type="http://schemas.openxmlformats.org/officeDocument/2006/relationships/hyperlink" Target="https://wellcometrust.lightning.force.com/lightning/r/Funding_Record__c/a2QQ5000000G9QyMAK/view" TargetMode="External"/><Relationship Id="rId91" Type="http://schemas.openxmlformats.org/officeDocument/2006/relationships/hyperlink" Target="https://wellcometrust.lightning.force.com/lightning/r/Funding_Record__c/a2QQ5000000G8aZMAS/view" TargetMode="External"/><Relationship Id="rId145" Type="http://schemas.openxmlformats.org/officeDocument/2006/relationships/hyperlink" Target="https://wellcometrust.lightning.force.com/lightning/r/Funding_Record__c/a2QQ5000000GYSHMA4/view" TargetMode="External"/><Relationship Id="rId166" Type="http://schemas.openxmlformats.org/officeDocument/2006/relationships/hyperlink" Target="https://wellcometrust.lightning.force.com/lightning/r/Funding_Record__c/a2QQ5000000GCJNMA4/view" TargetMode="External"/><Relationship Id="rId187" Type="http://schemas.openxmlformats.org/officeDocument/2006/relationships/hyperlink" Target="https://wellcometrust.lightning.force.com/lightning/r/Funding_Record__c/a2QQ5000000GQs0MAG/view" TargetMode="External"/><Relationship Id="rId1" Type="http://schemas.openxmlformats.org/officeDocument/2006/relationships/hyperlink" Target="https://wellcome.dimensions.ai/details/grant/grant.4580178?search_mode=content&amp;search_text=Wellcome%20Trust%20200890%2FZ%2F16%2FZ&amp;search_type=kws&amp;search_field=full_search" TargetMode="External"/><Relationship Id="rId212" Type="http://schemas.openxmlformats.org/officeDocument/2006/relationships/hyperlink" Target="https://wellcometrust.lightning.force.com/lightning/r/Funding_Record__c/a2QQ5000000GVZ4MAO/view" TargetMode="External"/><Relationship Id="rId233" Type="http://schemas.openxmlformats.org/officeDocument/2006/relationships/hyperlink" Target="https://wellcometrust.lightning.force.com/lightning/r/Funding_Record__c/a2QQ5000000GaYZMA0/view" TargetMode="External"/><Relationship Id="rId254" Type="http://schemas.openxmlformats.org/officeDocument/2006/relationships/comments" Target="../comments2.xml"/><Relationship Id="rId28" Type="http://schemas.openxmlformats.org/officeDocument/2006/relationships/hyperlink" Target="https://wellcome.dimensions.ai/details/grant/grant.7159267?search_mode=content&amp;search_text=Wellcome%20Trust%20205207%2FZ%2F16%2FZ&amp;search_type=kws&amp;search_field=full_search" TargetMode="External"/><Relationship Id="rId49" Type="http://schemas.openxmlformats.org/officeDocument/2006/relationships/hyperlink" Target="https://wellcometrust.lightning.force.com/lightning/r/Funding_Record__c/a2QQ5000000GV0cMAG/view" TargetMode="External"/><Relationship Id="rId114" Type="http://schemas.openxmlformats.org/officeDocument/2006/relationships/hyperlink" Target="https://wellcometrust.lightning.force.com/lightning/r/Funding_Record__c/a2QQ5000000GF6UMAW/view" TargetMode="External"/><Relationship Id="rId60" Type="http://schemas.openxmlformats.org/officeDocument/2006/relationships/hyperlink" Target="https://wellcometrust.lightning.force.com/lightning/r/Funding_Record__c/a2QQ5000001CEBWMA4/view" TargetMode="External"/><Relationship Id="rId81" Type="http://schemas.openxmlformats.org/officeDocument/2006/relationships/hyperlink" Target="https://wellcometrust.lightning.force.com/lightning/r/Funding_Record__c/a2QQ5000000GSU8MAO/view" TargetMode="External"/><Relationship Id="rId135" Type="http://schemas.openxmlformats.org/officeDocument/2006/relationships/hyperlink" Target="https://wellcometrust.lightning.force.com/lightning/r/Funding_Record__c/a2QQ5000000GEwLMAW/view" TargetMode="External"/><Relationship Id="rId156" Type="http://schemas.openxmlformats.org/officeDocument/2006/relationships/hyperlink" Target="https://wellcometrust.lightning.force.com/lightning/r/Funding_Record__c/a2QQ5000000GCKIMA4/view" TargetMode="External"/><Relationship Id="rId177" Type="http://schemas.openxmlformats.org/officeDocument/2006/relationships/hyperlink" Target="https://wellcometrust.lightning.force.com/lightning/r/Funding_Record__c/a2QQ5000000GWZnMAO/view" TargetMode="External"/><Relationship Id="rId198" Type="http://schemas.openxmlformats.org/officeDocument/2006/relationships/hyperlink" Target="https://wellcometrust.lightning.force.com/lightning/r/Funding_Record__c/a2QQ5000000GJkAMAW/view" TargetMode="External"/><Relationship Id="rId202" Type="http://schemas.openxmlformats.org/officeDocument/2006/relationships/hyperlink" Target="https://wellcometrust.lightning.force.com/lightning/r/Funding_Record__c/a2Q8d00000OC6xvEAD/view" TargetMode="External"/><Relationship Id="rId223" Type="http://schemas.openxmlformats.org/officeDocument/2006/relationships/hyperlink" Target="https://wellcometrust.lightning.force.com/lightning/r/Funding_Record__c/a2QQ5000000GOG8MAO/view" TargetMode="External"/><Relationship Id="rId244" Type="http://schemas.openxmlformats.org/officeDocument/2006/relationships/hyperlink" Target="https://wellcometrust.lightning.force.com/lightning/r/Funding_Record__c/a2QQ5000000GJwfMAG/view" TargetMode="External"/><Relationship Id="rId18" Type="http://schemas.openxmlformats.org/officeDocument/2006/relationships/hyperlink" Target="https://wellcome.dimensions.ai/details/grant/grant.6665158?search_mode=content&amp;search_text=Wellcome%20Trust%20106924&amp;search_type=kws&amp;search_field=full_search" TargetMode="External"/><Relationship Id="rId39" Type="http://schemas.openxmlformats.org/officeDocument/2006/relationships/hyperlink" Target="https://wellcome.dimensions.ai/details/grant/grant.3638641?search_mode=content&amp;search_text=Wellcome%20Trust%20100693&amp;search_type=kws&amp;search_field=full_search" TargetMode="External"/><Relationship Id="rId50" Type="http://schemas.openxmlformats.org/officeDocument/2006/relationships/hyperlink" Target="https://wellcometrust.lightning.force.com/lightning/r/Funding_Record__c/a2QQ5000000GMdHMAW/view" TargetMode="External"/><Relationship Id="rId104" Type="http://schemas.openxmlformats.org/officeDocument/2006/relationships/hyperlink" Target="https://wellcometrust.lightning.force.com/lightning/r/Funding_Record__c/a2QQ5000000GEbGMAW/view" TargetMode="External"/><Relationship Id="rId125" Type="http://schemas.openxmlformats.org/officeDocument/2006/relationships/hyperlink" Target="https://wellcometrust.lightning.force.com/lightning/r/Funding_Record__c/a2QQ5000000G9INMA0/view" TargetMode="External"/><Relationship Id="rId146" Type="http://schemas.openxmlformats.org/officeDocument/2006/relationships/hyperlink" Target="https://wellcometrust.lightning.force.com/lightning/r/Funding_Record__c/a2QQ5000000GKqyMAG/view" TargetMode="External"/><Relationship Id="rId167" Type="http://schemas.openxmlformats.org/officeDocument/2006/relationships/hyperlink" Target="https://wellcometrust.lightning.force.com/lightning/r/Funding_Record__c/a2QQ50000016nezMAA/view" TargetMode="External"/><Relationship Id="rId188" Type="http://schemas.openxmlformats.org/officeDocument/2006/relationships/hyperlink" Target="https://wellcometrust.lightning.force.com/lightning/r/Funding_Record__c/a2QQ5000000GT0BMAW/view" TargetMode="External"/><Relationship Id="rId71" Type="http://schemas.openxmlformats.org/officeDocument/2006/relationships/hyperlink" Target="https://wellcometrust.lightning.force.com/lightning/r/Funding_Record__c/a2QQ5000000GPvDMAW/view" TargetMode="External"/><Relationship Id="rId92" Type="http://schemas.openxmlformats.org/officeDocument/2006/relationships/hyperlink" Target="https://wellcometrust.lightning.force.com/lightning/r/Funding_Record__c/a2QQ5000000GEVYMA4/view" TargetMode="External"/><Relationship Id="rId213" Type="http://schemas.openxmlformats.org/officeDocument/2006/relationships/hyperlink" Target="https://wellcometrust.lightning.force.com/lightning/r/Funding_Record__c/a2QQ5000000G6y8MAC/view" TargetMode="External"/><Relationship Id="rId234" Type="http://schemas.openxmlformats.org/officeDocument/2006/relationships/hyperlink" Target="https://wellcometrust.lightning.force.com/lightning/r/Funding_Record__c/a2QQ5000000GReFMAW/view" TargetMode="External"/><Relationship Id="rId2" Type="http://schemas.openxmlformats.org/officeDocument/2006/relationships/hyperlink" Target="https://wellcome.dimensions.ai/details/grant/grant.10030322?search_mode=content&amp;search_text=Wellcome%20Trust%20222180%2FZ%2F20%2FZ&amp;search_type=kws&amp;search_field=full_search" TargetMode="External"/><Relationship Id="rId29" Type="http://schemas.openxmlformats.org/officeDocument/2006/relationships/hyperlink" Target="https://wellcome.dimensions.ai/details/grant/grant.4579409?search_mode=content&amp;search_text=Wellcome%20Trust%20103602&amp;search_type=kws&amp;search_field=full_search" TargetMode="External"/><Relationship Id="rId255" Type="http://schemas.microsoft.com/office/2017/10/relationships/threadedComment" Target="../threadedComments/threadedComment2.xml"/><Relationship Id="rId40" Type="http://schemas.openxmlformats.org/officeDocument/2006/relationships/hyperlink" Target="https://wellcome.dimensions.ai/details/application/056642Z99Z?search_mode=content&amp;search_text=056642&amp;search_type=kws&amp;search_field=full_search" TargetMode="External"/><Relationship Id="rId115" Type="http://schemas.openxmlformats.org/officeDocument/2006/relationships/hyperlink" Target="https://wellcometrust.lightning.force.com/lightning/r/Funding_Record__c/a2QQ5000000GIUqMAO/view" TargetMode="External"/><Relationship Id="rId136" Type="http://schemas.openxmlformats.org/officeDocument/2006/relationships/hyperlink" Target="https://wellcometrust.lightning.force.com/lightning/r/Funding_Record__c/a2QQ5000000GZV6MAO/view" TargetMode="External"/><Relationship Id="rId157" Type="http://schemas.openxmlformats.org/officeDocument/2006/relationships/hyperlink" Target="https://wellcometrust.lightning.force.com/lightning/r/Funding_Record__c/a2QQ5000000GSXoMAO/view" TargetMode="External"/><Relationship Id="rId178" Type="http://schemas.openxmlformats.org/officeDocument/2006/relationships/hyperlink" Target="https://wellcometrust.lightning.force.com/lightning/r/Funding_Record__c/a2QQ5000000GGhRMAW/view" TargetMode="External"/><Relationship Id="rId61" Type="http://schemas.openxmlformats.org/officeDocument/2006/relationships/hyperlink" Target="https://wellcometrust.lightning.force.com/lightning/r/Funding_Record__c/a2QQ5000000GCnGMAW/view" TargetMode="External"/><Relationship Id="rId82" Type="http://schemas.openxmlformats.org/officeDocument/2006/relationships/hyperlink" Target="https://wellcometrust.lightning.force.com/lightning/r/Funding_Record__c/a2QQ5000000GW5eMAG/view" TargetMode="External"/><Relationship Id="rId199" Type="http://schemas.openxmlformats.org/officeDocument/2006/relationships/hyperlink" Target="https://wellcometrust.lightning.force.com/lightning/r/Funding_Record__c/a2QQ5000000GKkEMAW/view" TargetMode="External"/><Relationship Id="rId203" Type="http://schemas.openxmlformats.org/officeDocument/2006/relationships/hyperlink" Target="https://wellcometrust.lightning.force.com/lightning/r/Funding_Record__c/a2QQ5000000AJscMAG/view" TargetMode="External"/><Relationship Id="rId19" Type="http://schemas.openxmlformats.org/officeDocument/2006/relationships/hyperlink" Target="https://wellcome.dimensions.ai/details/grant/grant.3641420?search_mode=content&amp;search_text=Wellcome%20Trust%20101113&amp;search_type=kws&amp;search_field=full_search" TargetMode="External"/><Relationship Id="rId224" Type="http://schemas.openxmlformats.org/officeDocument/2006/relationships/hyperlink" Target="https://wellcometrust.lightning.force.com/lightning/r/Funding_Record__c/a2QQ5000000GW0kMAG/view" TargetMode="External"/><Relationship Id="rId245" Type="http://schemas.openxmlformats.org/officeDocument/2006/relationships/hyperlink" Target="https://wellcometrust.lightning.force.com/lightning/r/Funding_Record__c/a2QQ5000000GKIaMAO/view" TargetMode="External"/><Relationship Id="rId30" Type="http://schemas.openxmlformats.org/officeDocument/2006/relationships/hyperlink" Target="https://wellcome.dimensions.ai/details/grant/grant.3637935?search_mode=content&amp;search_text=Wellcome%20Trust%20099876&amp;search_type=kws&amp;search_field=full_search" TargetMode="External"/><Relationship Id="rId105" Type="http://schemas.openxmlformats.org/officeDocument/2006/relationships/hyperlink" Target="https://wellcometrust.lightning.force.com/lightning/r/Funding_Record__c/a2QQ5000000GNPMMA4/view" TargetMode="External"/><Relationship Id="rId126" Type="http://schemas.openxmlformats.org/officeDocument/2006/relationships/hyperlink" Target="https://wellcometrust.lightning.force.com/lightning/r/Funding_Record__c/a2QQ5000000GTJpMAO/view" TargetMode="External"/><Relationship Id="rId147" Type="http://schemas.openxmlformats.org/officeDocument/2006/relationships/hyperlink" Target="https://wellcometrust.lightning.force.com/lightning/r/Funding_Record__c/a2QQ5000000G8TCMA0/view" TargetMode="External"/><Relationship Id="rId168" Type="http://schemas.openxmlformats.org/officeDocument/2006/relationships/hyperlink" Target="https://wellcometrust.lightning.force.com/lightning/r/Funding_Record__c/a2QQ5000000tywhMAA/view" TargetMode="External"/><Relationship Id="rId51" Type="http://schemas.openxmlformats.org/officeDocument/2006/relationships/hyperlink" Target="https://wellcometrust.lightning.force.com/lightning/r/Funding_Record__c/a2QQ5000000GIDSMA4/view" TargetMode="External"/><Relationship Id="rId72" Type="http://schemas.openxmlformats.org/officeDocument/2006/relationships/hyperlink" Target="https://wellcometrust.lightning.force.com/lightning/r/Funding_Record__c/a2QQ50000017857MAA/view" TargetMode="External"/><Relationship Id="rId93" Type="http://schemas.openxmlformats.org/officeDocument/2006/relationships/hyperlink" Target="https://wellcometrust.lightning.force.com/lightning/r/Funding_Record__c/a2QQ5000000GYxWMAW/view" TargetMode="External"/><Relationship Id="rId189" Type="http://schemas.openxmlformats.org/officeDocument/2006/relationships/hyperlink" Target="https://wellcometrust.lightning.force.com/lightning/r/Funding_Record__c/a2QQ5000000GXgoMAG/view" TargetMode="External"/><Relationship Id="rId3" Type="http://schemas.openxmlformats.org/officeDocument/2006/relationships/hyperlink" Target="https://wellcome.dimensions.ai/details/grant/grant.10029576?search_mode=content&amp;search_text=Wellcome%20Trust%20219169%2FZ%2F19%2FZ&amp;search_type=kws&amp;search_field=full_search" TargetMode="External"/><Relationship Id="rId214" Type="http://schemas.openxmlformats.org/officeDocument/2006/relationships/hyperlink" Target="https://wellcometrust.lightning.force.com/lightning/r/Funding_Record__c/a2QQ5000000GZPvMAO/view" TargetMode="External"/><Relationship Id="rId235" Type="http://schemas.openxmlformats.org/officeDocument/2006/relationships/hyperlink" Target="https://wellcometrust.lightning.force.com/lightning/r/Funding_Record__c/a2QQ5000000GaOoMAK/view" TargetMode="External"/><Relationship Id="rId116" Type="http://schemas.openxmlformats.org/officeDocument/2006/relationships/hyperlink" Target="https://wellcometrust.lightning.force.com/lightning/r/Funding_Record__c/a2QQ5000000GZUiMAO/view" TargetMode="External"/><Relationship Id="rId137" Type="http://schemas.openxmlformats.org/officeDocument/2006/relationships/hyperlink" Target="https://wellcometrust.lightning.force.com/lightning/r/Funding_Record__c/a2QQ5000000GJKFMA4/view" TargetMode="External"/><Relationship Id="rId158" Type="http://schemas.openxmlformats.org/officeDocument/2006/relationships/hyperlink" Target="https://wellcometrust.lightning.force.com/lightning/r/Funding_Record__c/a2QQ5000000GGI2MAO/view" TargetMode="External"/><Relationship Id="rId20" Type="http://schemas.openxmlformats.org/officeDocument/2006/relationships/hyperlink" Target="https://wellcome.dimensions.ai/details/grant/grant.3639009?search_mode=content&amp;search_text=Wellcome%20Trust%20087540&amp;search_type=kws&amp;search_field=full_search" TargetMode="External"/><Relationship Id="rId41" Type="http://schemas.openxmlformats.org/officeDocument/2006/relationships/hyperlink" Target="https://wellcome.dimensions.ai/details/grant/grant.6665806?search_mode=content&amp;search_text=Wellcome%20Trust%20201900%2FZ%2F16%2FZ&amp;search_type=kws&amp;search_field=full_search" TargetMode="External"/><Relationship Id="rId62" Type="http://schemas.openxmlformats.org/officeDocument/2006/relationships/hyperlink" Target="https://wellcometrust.lightning.force.com/lightning/r/Funding_Record__c/a2QQ5000000GEYcMAO/view" TargetMode="External"/><Relationship Id="rId83" Type="http://schemas.openxmlformats.org/officeDocument/2006/relationships/hyperlink" Target="https://wellcometrust.lightning.force.com/lightning/r/Funding_Record__c/a2QQ5000001BF9dMAG/view" TargetMode="External"/><Relationship Id="rId179" Type="http://schemas.openxmlformats.org/officeDocument/2006/relationships/hyperlink" Target="https://wellcometrust.lightning.force.com/lightning/r/Funding_Record__c/a2QQ5000000GUNFMA4/view" TargetMode="External"/><Relationship Id="rId190" Type="http://schemas.openxmlformats.org/officeDocument/2006/relationships/hyperlink" Target="https://wellcometrust.lightning.force.com/lightning/r/Funding_Record__c/a2QQ5000000G6RmMAK/view" TargetMode="External"/><Relationship Id="rId204" Type="http://schemas.openxmlformats.org/officeDocument/2006/relationships/hyperlink" Target="https://wellcometrust.lightning.force.com/lightning/r/Funding_Record__c/a2QQ5000000GDjoMAG/view" TargetMode="External"/><Relationship Id="rId225" Type="http://schemas.openxmlformats.org/officeDocument/2006/relationships/hyperlink" Target="https://wellcometrust.lightning.force.com/lightning/r/Funding_Record__c/a2QQ5000000GP0iMAG/view" TargetMode="External"/><Relationship Id="rId246" Type="http://schemas.openxmlformats.org/officeDocument/2006/relationships/hyperlink" Target="https://wellcometrust.lightning.force.com/lightning/r/Funding_Record__c/a2QQ5000000GImBMAW/view" TargetMode="External"/><Relationship Id="rId106" Type="http://schemas.openxmlformats.org/officeDocument/2006/relationships/hyperlink" Target="https://wellcometrust.lightning.force.com/lightning/r/Funding_Record__c/a2QQ5000000GYwJMAW/view" TargetMode="External"/><Relationship Id="rId127" Type="http://schemas.openxmlformats.org/officeDocument/2006/relationships/hyperlink" Target="https://wellcometrust.lightning.force.com/lightning/r/Funding_Record__c/a2QQ5000000GTJpMAO/view" TargetMode="External"/><Relationship Id="rId10" Type="http://schemas.openxmlformats.org/officeDocument/2006/relationships/hyperlink" Target="https://wellcome.dimensions.ai/details/grant/grant.3638667?search_mode=content&amp;search_text=Wellcome%20Trust%20087547%2FZ%2F08%2FZ&amp;search_type=kws&amp;search_field=full_search" TargetMode="External"/><Relationship Id="rId31" Type="http://schemas.openxmlformats.org/officeDocument/2006/relationships/hyperlink" Target="https://wellcome.dimensions.ai/details/grant/grant.3639034?search_mode=content&amp;search_text=Wellcome%20Trust%20093724&amp;search_type=kws&amp;search_field=full_search" TargetMode="External"/><Relationship Id="rId52" Type="http://schemas.openxmlformats.org/officeDocument/2006/relationships/hyperlink" Target="https://wellcometrust.lightning.force.com/lightning/r/Funding_Record__c/a2QQ5000000GU8jMAG/view" TargetMode="External"/><Relationship Id="rId73" Type="http://schemas.openxmlformats.org/officeDocument/2006/relationships/hyperlink" Target="https://wellcometrust.lightning.force.com/lightning/r/Funding_Record__c/a2QQ5000000GX8cMAG/view" TargetMode="External"/><Relationship Id="rId94" Type="http://schemas.openxmlformats.org/officeDocument/2006/relationships/hyperlink" Target="https://wellcometrust.lightning.force.com/lightning/r/Funding_Record__c/a2QQ5000000GON3MAO/view" TargetMode="External"/><Relationship Id="rId148" Type="http://schemas.openxmlformats.org/officeDocument/2006/relationships/hyperlink" Target="https://wellcometrust.lightning.force.com/lightning/r/Funding_Record__c/a2QQ5000000GMxgMAG/view" TargetMode="External"/><Relationship Id="rId169" Type="http://schemas.openxmlformats.org/officeDocument/2006/relationships/hyperlink" Target="https://wellcometrust.lightning.force.com/lightning/r/Funding_Record__c/a2QQ5000000vGBSMA2/view" TargetMode="External"/><Relationship Id="rId4" Type="http://schemas.openxmlformats.org/officeDocument/2006/relationships/hyperlink" Target="https://wellcome.dimensions.ai/details/grant/grant.10029513?search_mode=content&amp;search_text=Wellcome%20Trust%20218632%2FZ%2F19%2FZ&amp;search_type=kws&amp;search_field=full_search" TargetMode="External"/><Relationship Id="rId180" Type="http://schemas.openxmlformats.org/officeDocument/2006/relationships/hyperlink" Target="https://wellcometrust.lightning.force.com/lightning/r/Funding_Record__c/a2QQ5000000G9OUMA0/view" TargetMode="External"/><Relationship Id="rId215" Type="http://schemas.openxmlformats.org/officeDocument/2006/relationships/hyperlink" Target="https://wellcometrust.lightning.force.com/lightning/r/Funding_Record__c/a2QQ5000000GMO3MAO/view" TargetMode="External"/><Relationship Id="rId236" Type="http://schemas.openxmlformats.org/officeDocument/2006/relationships/hyperlink" Target="https://wellcometrust.lightning.force.com/lightning/r/Funding_Record__c/a2QQ5000000GJPHMA4/vie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FCCD2F-8D74-4AFB-8485-2DD218952A55}">
  <dimension ref="A1:C9"/>
  <sheetViews>
    <sheetView workbookViewId="0">
      <selection activeCell="A3" sqref="A3:C9"/>
    </sheetView>
  </sheetViews>
  <sheetFormatPr baseColWidth="10" defaultColWidth="8.83203125" defaultRowHeight="15" x14ac:dyDescent="0.2"/>
  <cols>
    <col min="1" max="1" width="12.5" bestFit="1" customWidth="1"/>
    <col min="2" max="2" width="22.83203125" bestFit="1" customWidth="1"/>
    <col min="3" max="3" width="18.1640625" bestFit="1" customWidth="1"/>
  </cols>
  <sheetData>
    <row r="1" spans="1:3" x14ac:dyDescent="0.2">
      <c r="A1" s="14" t="s">
        <v>0</v>
      </c>
      <c r="B1" t="s">
        <v>1</v>
      </c>
    </row>
    <row r="3" spans="1:3" x14ac:dyDescent="0.2">
      <c r="A3" s="14" t="s">
        <v>2</v>
      </c>
      <c r="B3" t="s">
        <v>3</v>
      </c>
      <c r="C3" t="s">
        <v>4</v>
      </c>
    </row>
    <row r="4" spans="1:3" x14ac:dyDescent="0.2">
      <c r="A4" s="15" t="s">
        <v>5</v>
      </c>
      <c r="B4">
        <v>62</v>
      </c>
      <c r="C4">
        <v>143442492.28</v>
      </c>
    </row>
    <row r="5" spans="1:3" x14ac:dyDescent="0.2">
      <c r="A5" s="15" t="s">
        <v>6</v>
      </c>
      <c r="B5">
        <v>15</v>
      </c>
      <c r="C5">
        <v>60075025.850000009</v>
      </c>
    </row>
    <row r="6" spans="1:3" x14ac:dyDescent="0.2">
      <c r="A6" s="15" t="s">
        <v>7</v>
      </c>
      <c r="B6">
        <v>5</v>
      </c>
      <c r="C6">
        <v>8741204.1199999992</v>
      </c>
    </row>
    <row r="7" spans="1:3" x14ac:dyDescent="0.2">
      <c r="A7" s="15" t="s">
        <v>8</v>
      </c>
      <c r="B7">
        <v>27</v>
      </c>
      <c r="C7">
        <v>6051411.9900000002</v>
      </c>
    </row>
    <row r="8" spans="1:3" x14ac:dyDescent="0.2">
      <c r="A8" s="15" t="s">
        <v>9</v>
      </c>
      <c r="B8">
        <v>20</v>
      </c>
      <c r="C8">
        <v>31907592.510000002</v>
      </c>
    </row>
    <row r="9" spans="1:3" x14ac:dyDescent="0.2">
      <c r="A9" s="15" t="s">
        <v>10</v>
      </c>
      <c r="B9">
        <v>129</v>
      </c>
      <c r="C9">
        <v>250217726.75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R271"/>
  <sheetViews>
    <sheetView zoomScale="80" zoomScaleNormal="80" workbookViewId="0">
      <pane ySplit="1" topLeftCell="A7" activePane="bottomLeft" state="frozen"/>
      <selection pane="bottomLeft" activeCell="F62" sqref="F62"/>
    </sheetView>
  </sheetViews>
  <sheetFormatPr baseColWidth="10" defaultColWidth="8.5" defaultRowHeight="15" customHeight="1" x14ac:dyDescent="0.2"/>
  <cols>
    <col min="1" max="1" width="15.5" bestFit="1" customWidth="1"/>
    <col min="2" max="3" width="23.1640625" customWidth="1"/>
    <col min="4" max="4" width="66" customWidth="1"/>
    <col min="5" max="5" width="63.5" customWidth="1"/>
    <col min="6" max="6" width="14.1640625" customWidth="1"/>
    <col min="7" max="7" width="42.5" customWidth="1"/>
    <col min="8" max="8" width="14.1640625" customWidth="1"/>
    <col min="9" max="9" width="23" style="53" customWidth="1"/>
    <col min="10" max="10" width="35.5" customWidth="1"/>
    <col min="11" max="11" width="16.5" bestFit="1" customWidth="1"/>
    <col min="12" max="12" width="11" bestFit="1" customWidth="1"/>
    <col min="13" max="13" width="16.5" style="1" customWidth="1"/>
    <col min="14" max="14" width="17.5" customWidth="1"/>
    <col min="15" max="15" width="16.5" style="16" customWidth="1"/>
    <col min="16" max="16" width="16.5" style="49" customWidth="1"/>
    <col min="17" max="17" width="19" customWidth="1"/>
  </cols>
  <sheetData>
    <row r="1" spans="1:18" x14ac:dyDescent="0.2">
      <c r="A1" s="32" t="s">
        <v>11</v>
      </c>
      <c r="B1" s="33" t="s">
        <v>12</v>
      </c>
      <c r="C1" s="33" t="s">
        <v>13</v>
      </c>
      <c r="D1" s="32" t="s">
        <v>14</v>
      </c>
      <c r="E1" s="32" t="s">
        <v>15</v>
      </c>
      <c r="F1" s="32" t="s">
        <v>16</v>
      </c>
      <c r="G1" s="32" t="s">
        <v>17</v>
      </c>
      <c r="H1" s="32" t="s">
        <v>18</v>
      </c>
      <c r="I1" s="51" t="s">
        <v>19</v>
      </c>
      <c r="J1" s="32" t="s">
        <v>20</v>
      </c>
      <c r="K1" s="32" t="s">
        <v>21</v>
      </c>
      <c r="L1" s="32" t="s">
        <v>22</v>
      </c>
      <c r="M1" s="34" t="s">
        <v>23</v>
      </c>
      <c r="N1" s="32" t="s">
        <v>24</v>
      </c>
      <c r="O1" s="35" t="s">
        <v>25</v>
      </c>
      <c r="P1" s="46" t="s">
        <v>26</v>
      </c>
      <c r="Q1" s="27" t="s">
        <v>27</v>
      </c>
      <c r="R1" s="27" t="s">
        <v>28</v>
      </c>
    </row>
    <row r="2" spans="1:18" hidden="1" x14ac:dyDescent="0.2">
      <c r="A2" s="36" t="s">
        <v>29</v>
      </c>
      <c r="B2" s="36" t="s">
        <v>30</v>
      </c>
      <c r="C2" s="36" t="s">
        <v>31</v>
      </c>
      <c r="D2" s="36" t="s">
        <v>32</v>
      </c>
      <c r="E2" s="36" t="s">
        <v>33</v>
      </c>
      <c r="F2" s="36" t="s">
        <v>34</v>
      </c>
      <c r="G2" s="36" t="s">
        <v>35</v>
      </c>
      <c r="H2" s="36" t="s">
        <v>36</v>
      </c>
      <c r="I2" s="52" t="s">
        <v>37</v>
      </c>
      <c r="J2" s="36" t="s">
        <v>38</v>
      </c>
      <c r="K2" s="36" t="s">
        <v>39</v>
      </c>
      <c r="L2" s="36" t="s">
        <v>8</v>
      </c>
      <c r="M2" s="37" t="s">
        <v>40</v>
      </c>
      <c r="N2" s="38">
        <v>323195</v>
      </c>
      <c r="O2" s="39">
        <v>504855.4</v>
      </c>
      <c r="P2" s="47">
        <v>504855.4</v>
      </c>
      <c r="Q2" s="28" t="s">
        <v>41</v>
      </c>
      <c r="R2" s="29" t="s">
        <v>42</v>
      </c>
    </row>
    <row r="3" spans="1:18" hidden="1" x14ac:dyDescent="0.2">
      <c r="A3" s="36" t="s">
        <v>43</v>
      </c>
      <c r="B3" s="36" t="s">
        <v>30</v>
      </c>
      <c r="C3" s="36" t="s">
        <v>31</v>
      </c>
      <c r="D3" s="36" t="s">
        <v>44</v>
      </c>
      <c r="E3" s="36" t="s">
        <v>45</v>
      </c>
      <c r="F3" s="36" t="s">
        <v>46</v>
      </c>
      <c r="G3" s="36" t="s">
        <v>35</v>
      </c>
      <c r="H3" s="36" t="s">
        <v>36</v>
      </c>
      <c r="I3" s="52" t="s">
        <v>47</v>
      </c>
      <c r="J3" s="36" t="s">
        <v>48</v>
      </c>
      <c r="K3" s="36" t="s">
        <v>39</v>
      </c>
      <c r="L3" s="36" t="s">
        <v>9</v>
      </c>
      <c r="M3" s="37" t="s">
        <v>49</v>
      </c>
      <c r="N3" s="38">
        <v>9385397.9900000002</v>
      </c>
      <c r="O3" s="39">
        <v>10360135.550000001</v>
      </c>
      <c r="P3" s="47">
        <v>10360135.550000001</v>
      </c>
      <c r="Q3" s="28" t="s">
        <v>50</v>
      </c>
      <c r="R3" s="29" t="s">
        <v>51</v>
      </c>
    </row>
    <row r="4" spans="1:18" hidden="1" x14ac:dyDescent="0.2">
      <c r="A4" s="36" t="s">
        <v>52</v>
      </c>
      <c r="B4" s="36" t="s">
        <v>30</v>
      </c>
      <c r="C4" s="36" t="s">
        <v>31</v>
      </c>
      <c r="D4" s="36" t="s">
        <v>53</v>
      </c>
      <c r="E4" s="36" t="s">
        <v>54</v>
      </c>
      <c r="F4" s="36" t="s">
        <v>55</v>
      </c>
      <c r="G4" s="36" t="s">
        <v>56</v>
      </c>
      <c r="H4" s="36" t="s">
        <v>36</v>
      </c>
      <c r="I4" s="52" t="s">
        <v>37</v>
      </c>
      <c r="J4" s="36" t="s">
        <v>48</v>
      </c>
      <c r="K4" s="36" t="s">
        <v>57</v>
      </c>
      <c r="L4" s="36" t="s">
        <v>9</v>
      </c>
      <c r="M4" s="37" t="s">
        <v>49</v>
      </c>
      <c r="N4" s="38">
        <v>5434990</v>
      </c>
      <c r="O4" s="39">
        <v>6584205.8200000003</v>
      </c>
      <c r="P4" s="47">
        <v>6584205.8200000003</v>
      </c>
      <c r="Q4" s="28" t="s">
        <v>58</v>
      </c>
      <c r="R4" s="29" t="s">
        <v>51</v>
      </c>
    </row>
    <row r="5" spans="1:18" hidden="1" x14ac:dyDescent="0.2">
      <c r="A5" s="36" t="s">
        <v>59</v>
      </c>
      <c r="B5" s="36" t="s">
        <v>30</v>
      </c>
      <c r="C5" s="36" t="s">
        <v>31</v>
      </c>
      <c r="D5" s="36" t="s">
        <v>60</v>
      </c>
      <c r="E5" s="36" t="s">
        <v>61</v>
      </c>
      <c r="F5" s="36" t="s">
        <v>55</v>
      </c>
      <c r="G5" s="36" t="s">
        <v>56</v>
      </c>
      <c r="H5" s="36" t="s">
        <v>36</v>
      </c>
      <c r="I5" s="52" t="s">
        <v>37</v>
      </c>
      <c r="J5" s="36" t="s">
        <v>48</v>
      </c>
      <c r="K5" s="36" t="s">
        <v>57</v>
      </c>
      <c r="L5" s="36" t="s">
        <v>8</v>
      </c>
      <c r="M5" s="37" t="s">
        <v>49</v>
      </c>
      <c r="N5" s="38">
        <v>947699.77</v>
      </c>
      <c r="O5" s="39">
        <v>944762.5</v>
      </c>
      <c r="P5" s="47">
        <v>944762.5</v>
      </c>
      <c r="Q5" s="28" t="s">
        <v>62</v>
      </c>
      <c r="R5" s="29" t="s">
        <v>51</v>
      </c>
    </row>
    <row r="6" spans="1:18" hidden="1" x14ac:dyDescent="0.2">
      <c r="A6" s="36" t="s">
        <v>63</v>
      </c>
      <c r="B6" s="36" t="s">
        <v>30</v>
      </c>
      <c r="C6" s="36" t="s">
        <v>31</v>
      </c>
      <c r="D6" s="36" t="s">
        <v>60</v>
      </c>
      <c r="E6" s="36" t="s">
        <v>61</v>
      </c>
      <c r="F6" s="36" t="s">
        <v>55</v>
      </c>
      <c r="G6" s="36" t="s">
        <v>56</v>
      </c>
      <c r="H6" s="36" t="s">
        <v>36</v>
      </c>
      <c r="I6" s="52" t="s">
        <v>37</v>
      </c>
      <c r="J6" s="36" t="s">
        <v>48</v>
      </c>
      <c r="K6" s="36" t="s">
        <v>57</v>
      </c>
      <c r="L6" s="36" t="s">
        <v>9</v>
      </c>
      <c r="M6" s="37" t="s">
        <v>49</v>
      </c>
      <c r="N6" s="38">
        <v>4391572</v>
      </c>
      <c r="O6" s="39">
        <v>5554778.4800000004</v>
      </c>
      <c r="P6" s="47">
        <v>5554778.4800000004</v>
      </c>
      <c r="Q6" s="28" t="s">
        <v>64</v>
      </c>
      <c r="R6" s="29" t="s">
        <v>51</v>
      </c>
    </row>
    <row r="7" spans="1:18" x14ac:dyDescent="0.2">
      <c r="A7" s="36" t="s">
        <v>65</v>
      </c>
      <c r="B7" s="36" t="s">
        <v>30</v>
      </c>
      <c r="C7" s="36" t="s">
        <v>31</v>
      </c>
      <c r="D7" s="36" t="s">
        <v>66</v>
      </c>
      <c r="E7" s="36" t="s">
        <v>67</v>
      </c>
      <c r="F7" s="36" t="s">
        <v>68</v>
      </c>
      <c r="G7" s="36" t="s">
        <v>35</v>
      </c>
      <c r="H7" s="36" t="s">
        <v>36</v>
      </c>
      <c r="I7" s="52" t="s">
        <v>47</v>
      </c>
      <c r="J7" s="36" t="s">
        <v>48</v>
      </c>
      <c r="K7" s="36" t="s">
        <v>39</v>
      </c>
      <c r="L7" s="36" t="s">
        <v>5</v>
      </c>
      <c r="M7" s="37" t="s">
        <v>49</v>
      </c>
      <c r="N7" s="38">
        <v>243492</v>
      </c>
      <c r="O7" s="39">
        <v>243492</v>
      </c>
      <c r="P7" s="47">
        <v>243492</v>
      </c>
      <c r="Q7" s="28" t="s">
        <v>69</v>
      </c>
      <c r="R7" s="29" t="s">
        <v>70</v>
      </c>
    </row>
    <row r="8" spans="1:18" hidden="1" x14ac:dyDescent="0.2">
      <c r="A8" s="36" t="s">
        <v>71</v>
      </c>
      <c r="B8" s="36" t="s">
        <v>30</v>
      </c>
      <c r="C8" s="36" t="s">
        <v>31</v>
      </c>
      <c r="D8" s="36" t="s">
        <v>66</v>
      </c>
      <c r="E8" s="36" t="s">
        <v>72</v>
      </c>
      <c r="F8" s="36" t="s">
        <v>55</v>
      </c>
      <c r="G8" s="36" t="s">
        <v>56</v>
      </c>
      <c r="H8" s="36" t="s">
        <v>36</v>
      </c>
      <c r="I8" s="52" t="s">
        <v>47</v>
      </c>
      <c r="J8" s="36" t="s">
        <v>48</v>
      </c>
      <c r="K8" s="36" t="s">
        <v>39</v>
      </c>
      <c r="L8" s="36" t="s">
        <v>8</v>
      </c>
      <c r="M8" s="37" t="s">
        <v>49</v>
      </c>
      <c r="N8" s="38">
        <v>364741</v>
      </c>
      <c r="O8" s="39">
        <v>5456.48</v>
      </c>
      <c r="P8" s="47">
        <v>5456.48</v>
      </c>
      <c r="Q8" s="28" t="s">
        <v>73</v>
      </c>
      <c r="R8" s="29" t="s">
        <v>51</v>
      </c>
    </row>
    <row r="9" spans="1:18" x14ac:dyDescent="0.2">
      <c r="A9" s="36" t="s">
        <v>74</v>
      </c>
      <c r="B9" s="36" t="s">
        <v>30</v>
      </c>
      <c r="C9" s="36" t="s">
        <v>31</v>
      </c>
      <c r="D9" s="36" t="s">
        <v>66</v>
      </c>
      <c r="E9" s="36" t="s">
        <v>67</v>
      </c>
      <c r="F9" s="36" t="s">
        <v>68</v>
      </c>
      <c r="G9" s="36" t="s">
        <v>35</v>
      </c>
      <c r="H9" s="36" t="s">
        <v>36</v>
      </c>
      <c r="I9" s="52" t="s">
        <v>47</v>
      </c>
      <c r="J9" s="36" t="s">
        <v>48</v>
      </c>
      <c r="K9" s="36" t="s">
        <v>39</v>
      </c>
      <c r="L9" s="36" t="s">
        <v>5</v>
      </c>
      <c r="M9" s="37" t="s">
        <v>49</v>
      </c>
      <c r="N9" s="38">
        <v>8472026.4900000002</v>
      </c>
      <c r="O9" s="39">
        <v>16978954.550000001</v>
      </c>
      <c r="P9" s="47">
        <v>16978954.550000001</v>
      </c>
      <c r="Q9" s="28" t="s">
        <v>75</v>
      </c>
      <c r="R9" s="29" t="s">
        <v>51</v>
      </c>
    </row>
    <row r="10" spans="1:18" hidden="1" x14ac:dyDescent="0.2">
      <c r="A10" s="36" t="s">
        <v>76</v>
      </c>
      <c r="B10" s="36" t="s">
        <v>30</v>
      </c>
      <c r="C10" s="36" t="s">
        <v>31</v>
      </c>
      <c r="D10" s="36" t="s">
        <v>77</v>
      </c>
      <c r="E10" s="36" t="s">
        <v>78</v>
      </c>
      <c r="F10" s="36" t="s">
        <v>55</v>
      </c>
      <c r="G10" s="36" t="s">
        <v>56</v>
      </c>
      <c r="H10" s="36" t="s">
        <v>36</v>
      </c>
      <c r="I10" s="52" t="s">
        <v>47</v>
      </c>
      <c r="J10" s="36" t="s">
        <v>79</v>
      </c>
      <c r="K10" s="36" t="s">
        <v>57</v>
      </c>
      <c r="L10" s="36" t="s">
        <v>9</v>
      </c>
      <c r="M10" s="37" t="s">
        <v>80</v>
      </c>
      <c r="N10" s="38">
        <v>99995</v>
      </c>
      <c r="O10" s="36">
        <v>0</v>
      </c>
      <c r="P10" s="48">
        <v>99995</v>
      </c>
      <c r="Q10" s="28" t="s">
        <v>81</v>
      </c>
      <c r="R10" s="29" t="s">
        <v>82</v>
      </c>
    </row>
    <row r="11" spans="1:18" x14ac:dyDescent="0.2">
      <c r="A11" s="36" t="s">
        <v>83</v>
      </c>
      <c r="B11" s="36" t="s">
        <v>30</v>
      </c>
      <c r="C11" s="36" t="s">
        <v>31</v>
      </c>
      <c r="D11" s="36" t="s">
        <v>84</v>
      </c>
      <c r="E11" s="36" t="s">
        <v>78</v>
      </c>
      <c r="F11" s="36" t="s">
        <v>55</v>
      </c>
      <c r="G11" s="36" t="s">
        <v>56</v>
      </c>
      <c r="H11" s="36" t="s">
        <v>36</v>
      </c>
      <c r="I11" s="52" t="s">
        <v>47</v>
      </c>
      <c r="J11" s="36" t="s">
        <v>85</v>
      </c>
      <c r="K11" s="36" t="s">
        <v>57</v>
      </c>
      <c r="L11" s="36" t="s">
        <v>5</v>
      </c>
      <c r="M11" s="37" t="s">
        <v>86</v>
      </c>
      <c r="N11" s="38">
        <v>5154996</v>
      </c>
      <c r="O11" s="39">
        <v>5271218.8</v>
      </c>
      <c r="P11" s="47">
        <v>5271218.8</v>
      </c>
      <c r="Q11" s="28" t="s">
        <v>87</v>
      </c>
      <c r="R11" s="29" t="s">
        <v>88</v>
      </c>
    </row>
    <row r="12" spans="1:18" x14ac:dyDescent="0.2">
      <c r="A12" s="36" t="s">
        <v>89</v>
      </c>
      <c r="B12" s="36" t="s">
        <v>30</v>
      </c>
      <c r="C12" s="36" t="s">
        <v>31</v>
      </c>
      <c r="D12" s="36" t="s">
        <v>90</v>
      </c>
      <c r="E12" s="36" t="s">
        <v>91</v>
      </c>
      <c r="F12" s="36" t="s">
        <v>55</v>
      </c>
      <c r="G12" s="36" t="s">
        <v>56</v>
      </c>
      <c r="H12" s="36" t="s">
        <v>36</v>
      </c>
      <c r="I12" s="52" t="s">
        <v>37</v>
      </c>
      <c r="J12" s="36" t="s">
        <v>85</v>
      </c>
      <c r="K12" s="36" t="s">
        <v>39</v>
      </c>
      <c r="L12" s="36" t="s">
        <v>5</v>
      </c>
      <c r="M12" s="37" t="s">
        <v>86</v>
      </c>
      <c r="N12" s="38">
        <v>5150000</v>
      </c>
      <c r="O12" s="39">
        <v>5872782</v>
      </c>
      <c r="P12" s="47">
        <v>5872782</v>
      </c>
      <c r="Q12" s="28" t="s">
        <v>92</v>
      </c>
      <c r="R12" s="29" t="s">
        <v>88</v>
      </c>
    </row>
    <row r="13" spans="1:18" x14ac:dyDescent="0.2">
      <c r="A13" s="36" t="s">
        <v>93</v>
      </c>
      <c r="B13" s="36" t="s">
        <v>30</v>
      </c>
      <c r="C13" s="36" t="s">
        <v>31</v>
      </c>
      <c r="D13" s="36" t="s">
        <v>94</v>
      </c>
      <c r="E13" s="36" t="s">
        <v>91</v>
      </c>
      <c r="F13" s="36" t="s">
        <v>55</v>
      </c>
      <c r="G13" s="36" t="s">
        <v>56</v>
      </c>
      <c r="H13" s="36" t="s">
        <v>36</v>
      </c>
      <c r="I13" s="52" t="s">
        <v>95</v>
      </c>
      <c r="J13" s="36" t="s">
        <v>85</v>
      </c>
      <c r="K13" s="36" t="s">
        <v>39</v>
      </c>
      <c r="L13" s="36" t="s">
        <v>5</v>
      </c>
      <c r="M13" s="37" t="s">
        <v>86</v>
      </c>
      <c r="N13" s="38">
        <v>5528492</v>
      </c>
      <c r="O13" s="39">
        <v>5528492</v>
      </c>
      <c r="P13" s="47">
        <v>5528492</v>
      </c>
      <c r="Q13" s="28" t="s">
        <v>96</v>
      </c>
      <c r="R13" s="29" t="s">
        <v>88</v>
      </c>
    </row>
    <row r="14" spans="1:18" hidden="1" x14ac:dyDescent="0.2">
      <c r="A14" s="36" t="s">
        <v>97</v>
      </c>
      <c r="B14" s="36" t="s">
        <v>30</v>
      </c>
      <c r="C14" s="36" t="s">
        <v>31</v>
      </c>
      <c r="D14" s="36" t="s">
        <v>98</v>
      </c>
      <c r="E14" s="36" t="s">
        <v>99</v>
      </c>
      <c r="F14" s="36" t="s">
        <v>100</v>
      </c>
      <c r="G14" s="36" t="s">
        <v>35</v>
      </c>
      <c r="H14" s="36" t="s">
        <v>36</v>
      </c>
      <c r="I14" s="52" t="s">
        <v>101</v>
      </c>
      <c r="J14" s="36" t="s">
        <v>85</v>
      </c>
      <c r="K14" s="36" t="s">
        <v>39</v>
      </c>
      <c r="L14" s="36" t="s">
        <v>9</v>
      </c>
      <c r="M14" s="37" t="s">
        <v>86</v>
      </c>
      <c r="N14" s="38">
        <v>368829.7</v>
      </c>
      <c r="O14" s="39">
        <v>368829.7</v>
      </c>
      <c r="P14" s="47">
        <v>368829.7</v>
      </c>
      <c r="Q14" s="28" t="s">
        <v>102</v>
      </c>
      <c r="R14" s="29" t="s">
        <v>88</v>
      </c>
    </row>
    <row r="15" spans="1:18" hidden="1" x14ac:dyDescent="0.2">
      <c r="A15" s="36" t="s">
        <v>103</v>
      </c>
      <c r="B15" s="36" t="s">
        <v>30</v>
      </c>
      <c r="C15" s="36" t="s">
        <v>31</v>
      </c>
      <c r="D15" s="36" t="s">
        <v>104</v>
      </c>
      <c r="E15" s="36" t="s">
        <v>105</v>
      </c>
      <c r="F15" s="36" t="s">
        <v>55</v>
      </c>
      <c r="G15" s="36" t="s">
        <v>56</v>
      </c>
      <c r="H15" s="36" t="s">
        <v>36</v>
      </c>
      <c r="I15" s="52" t="s">
        <v>47</v>
      </c>
      <c r="J15" s="36" t="s">
        <v>85</v>
      </c>
      <c r="K15" s="36" t="s">
        <v>57</v>
      </c>
      <c r="L15" s="36" t="s">
        <v>8</v>
      </c>
      <c r="M15" s="37" t="s">
        <v>86</v>
      </c>
      <c r="N15" s="38">
        <v>232128</v>
      </c>
      <c r="O15" s="39">
        <v>256856.74</v>
      </c>
      <c r="P15" s="47">
        <v>256856.74</v>
      </c>
      <c r="Q15" s="28" t="s">
        <v>106</v>
      </c>
      <c r="R15" s="29" t="s">
        <v>88</v>
      </c>
    </row>
    <row r="16" spans="1:18" hidden="1" x14ac:dyDescent="0.2">
      <c r="A16" s="36" t="s">
        <v>107</v>
      </c>
      <c r="B16" s="36" t="s">
        <v>30</v>
      </c>
      <c r="C16" s="36" t="s">
        <v>31</v>
      </c>
      <c r="D16" s="36" t="s">
        <v>108</v>
      </c>
      <c r="E16" s="36" t="s">
        <v>109</v>
      </c>
      <c r="F16" s="36" t="s">
        <v>55</v>
      </c>
      <c r="G16" s="36" t="s">
        <v>56</v>
      </c>
      <c r="H16" s="36" t="s">
        <v>36</v>
      </c>
      <c r="I16" s="52" t="s">
        <v>47</v>
      </c>
      <c r="J16" s="36" t="s">
        <v>110</v>
      </c>
      <c r="K16" s="36" t="s">
        <v>57</v>
      </c>
      <c r="L16" s="36" t="s">
        <v>9</v>
      </c>
      <c r="M16" s="37" t="s">
        <v>111</v>
      </c>
      <c r="N16" s="38">
        <v>499529</v>
      </c>
      <c r="O16" s="39">
        <v>499529</v>
      </c>
      <c r="P16" s="47">
        <v>499529</v>
      </c>
      <c r="Q16" s="28" t="s">
        <v>112</v>
      </c>
      <c r="R16" s="29" t="s">
        <v>113</v>
      </c>
    </row>
    <row r="17" spans="1:18" hidden="1" x14ac:dyDescent="0.2">
      <c r="A17" s="36" t="s">
        <v>114</v>
      </c>
      <c r="B17" s="36" t="s">
        <v>30</v>
      </c>
      <c r="C17" s="36" t="s">
        <v>31</v>
      </c>
      <c r="D17" s="36" t="s">
        <v>115</v>
      </c>
      <c r="E17" s="36" t="s">
        <v>54</v>
      </c>
      <c r="F17" s="36" t="s">
        <v>55</v>
      </c>
      <c r="G17" s="36" t="s">
        <v>56</v>
      </c>
      <c r="H17" s="36" t="s">
        <v>36</v>
      </c>
      <c r="I17" s="52" t="s">
        <v>47</v>
      </c>
      <c r="J17" s="36" t="s">
        <v>110</v>
      </c>
      <c r="K17" s="36" t="s">
        <v>57</v>
      </c>
      <c r="L17" s="36" t="s">
        <v>8</v>
      </c>
      <c r="M17" s="37" t="s">
        <v>111</v>
      </c>
      <c r="N17" s="38">
        <v>480795</v>
      </c>
      <c r="O17" s="39">
        <v>460459.25</v>
      </c>
      <c r="P17" s="47">
        <v>460459.25</v>
      </c>
      <c r="Q17" s="28" t="s">
        <v>116</v>
      </c>
      <c r="R17" s="29" t="s">
        <v>113</v>
      </c>
    </row>
    <row r="18" spans="1:18" hidden="1" x14ac:dyDescent="0.2">
      <c r="A18" s="36" t="s">
        <v>117</v>
      </c>
      <c r="B18" s="36" t="s">
        <v>30</v>
      </c>
      <c r="C18" s="36" t="s">
        <v>31</v>
      </c>
      <c r="D18" s="36" t="s">
        <v>118</v>
      </c>
      <c r="E18" s="36" t="s">
        <v>119</v>
      </c>
      <c r="F18" s="36" t="s">
        <v>46</v>
      </c>
      <c r="G18" s="36" t="s">
        <v>35</v>
      </c>
      <c r="H18" s="36" t="s">
        <v>36</v>
      </c>
      <c r="I18" s="52" t="s">
        <v>37</v>
      </c>
      <c r="J18" s="36" t="s">
        <v>110</v>
      </c>
      <c r="K18" s="36" t="s">
        <v>57</v>
      </c>
      <c r="L18" s="36" t="s">
        <v>9</v>
      </c>
      <c r="M18" s="37" t="s">
        <v>111</v>
      </c>
      <c r="N18" s="38">
        <v>305186.01</v>
      </c>
      <c r="O18" s="39">
        <v>305186.01</v>
      </c>
      <c r="P18" s="47">
        <v>305186.01</v>
      </c>
      <c r="Q18" s="28" t="s">
        <v>120</v>
      </c>
      <c r="R18" s="29" t="s">
        <v>113</v>
      </c>
    </row>
    <row r="19" spans="1:18" hidden="1" x14ac:dyDescent="0.2">
      <c r="A19" s="36" t="s">
        <v>121</v>
      </c>
      <c r="B19" s="36" t="s">
        <v>30</v>
      </c>
      <c r="C19" s="36" t="s">
        <v>31</v>
      </c>
      <c r="D19" s="36" t="s">
        <v>122</v>
      </c>
      <c r="E19" s="36" t="s">
        <v>123</v>
      </c>
      <c r="F19" s="36" t="s">
        <v>46</v>
      </c>
      <c r="G19" s="36" t="s">
        <v>35</v>
      </c>
      <c r="H19" s="36" t="s">
        <v>36</v>
      </c>
      <c r="I19" s="52" t="s">
        <v>47</v>
      </c>
      <c r="J19" s="36" t="s">
        <v>110</v>
      </c>
      <c r="K19" s="36" t="s">
        <v>39</v>
      </c>
      <c r="L19" s="36" t="s">
        <v>8</v>
      </c>
      <c r="M19" s="37" t="s">
        <v>111</v>
      </c>
      <c r="N19" s="38">
        <v>485001.13</v>
      </c>
      <c r="O19" s="39">
        <v>482585.3</v>
      </c>
      <c r="P19" s="47">
        <v>482585.3</v>
      </c>
      <c r="Q19" s="28" t="s">
        <v>124</v>
      </c>
      <c r="R19" s="29" t="s">
        <v>113</v>
      </c>
    </row>
    <row r="20" spans="1:18" hidden="1" x14ac:dyDescent="0.2">
      <c r="A20" s="36" t="s">
        <v>125</v>
      </c>
      <c r="B20" s="36" t="s">
        <v>30</v>
      </c>
      <c r="C20" s="36" t="s">
        <v>31</v>
      </c>
      <c r="D20" s="36" t="s">
        <v>126</v>
      </c>
      <c r="E20" s="36" t="s">
        <v>127</v>
      </c>
      <c r="F20" s="36" t="s">
        <v>46</v>
      </c>
      <c r="G20" s="36" t="s">
        <v>35</v>
      </c>
      <c r="H20" s="36" t="s">
        <v>36</v>
      </c>
      <c r="I20" s="52" t="s">
        <v>47</v>
      </c>
      <c r="J20" s="36" t="s">
        <v>110</v>
      </c>
      <c r="K20" s="36" t="s">
        <v>57</v>
      </c>
      <c r="L20" s="36" t="s">
        <v>9</v>
      </c>
      <c r="M20" s="37" t="s">
        <v>111</v>
      </c>
      <c r="N20" s="38">
        <v>483015.58</v>
      </c>
      <c r="O20" s="39">
        <v>483015.58</v>
      </c>
      <c r="P20" s="47">
        <v>483015.58</v>
      </c>
      <c r="Q20" s="28" t="s">
        <v>128</v>
      </c>
      <c r="R20" s="29" t="s">
        <v>113</v>
      </c>
    </row>
    <row r="21" spans="1:18" hidden="1" x14ac:dyDescent="0.2">
      <c r="A21" s="36" t="s">
        <v>129</v>
      </c>
      <c r="B21" s="36" t="s">
        <v>30</v>
      </c>
      <c r="C21" s="36" t="s">
        <v>31</v>
      </c>
      <c r="D21" s="36" t="s">
        <v>130</v>
      </c>
      <c r="E21" s="36" t="s">
        <v>131</v>
      </c>
      <c r="F21" s="36" t="s">
        <v>132</v>
      </c>
      <c r="G21" s="36" t="s">
        <v>133</v>
      </c>
      <c r="H21" s="36" t="s">
        <v>36</v>
      </c>
      <c r="I21" s="52" t="s">
        <v>47</v>
      </c>
      <c r="J21" s="36" t="s">
        <v>110</v>
      </c>
      <c r="K21" s="36" t="s">
        <v>134</v>
      </c>
      <c r="L21" s="36" t="s">
        <v>8</v>
      </c>
      <c r="M21" s="37" t="s">
        <v>111</v>
      </c>
      <c r="N21" s="38">
        <v>200561.66</v>
      </c>
      <c r="O21" s="39">
        <v>198045.13</v>
      </c>
      <c r="P21" s="47">
        <v>198045.13</v>
      </c>
      <c r="Q21" s="28" t="s">
        <v>135</v>
      </c>
      <c r="R21" s="29" t="s">
        <v>113</v>
      </c>
    </row>
    <row r="22" spans="1:18" x14ac:dyDescent="0.2">
      <c r="A22" s="36" t="s">
        <v>136</v>
      </c>
      <c r="B22" s="36" t="s">
        <v>30</v>
      </c>
      <c r="C22" s="36" t="s">
        <v>31</v>
      </c>
      <c r="D22" s="36" t="s">
        <v>137</v>
      </c>
      <c r="E22" s="36" t="s">
        <v>91</v>
      </c>
      <c r="F22" s="36" t="s">
        <v>55</v>
      </c>
      <c r="G22" s="36" t="s">
        <v>56</v>
      </c>
      <c r="H22" s="36" t="s">
        <v>36</v>
      </c>
      <c r="I22" s="52" t="s">
        <v>95</v>
      </c>
      <c r="J22" s="36" t="s">
        <v>110</v>
      </c>
      <c r="K22" s="36" t="s">
        <v>57</v>
      </c>
      <c r="L22" s="36" t="s">
        <v>5</v>
      </c>
      <c r="M22" s="37" t="s">
        <v>111</v>
      </c>
      <c r="N22" s="38">
        <v>518125</v>
      </c>
      <c r="O22" s="39">
        <v>519426</v>
      </c>
      <c r="P22" s="47">
        <v>519426</v>
      </c>
      <c r="Q22" s="28" t="s">
        <v>138</v>
      </c>
      <c r="R22" s="29" t="s">
        <v>113</v>
      </c>
    </row>
    <row r="23" spans="1:18" hidden="1" x14ac:dyDescent="0.2">
      <c r="A23" s="36" t="s">
        <v>139</v>
      </c>
      <c r="B23" s="36" t="s">
        <v>30</v>
      </c>
      <c r="C23" s="36" t="s">
        <v>31</v>
      </c>
      <c r="D23" s="36" t="s">
        <v>140</v>
      </c>
      <c r="E23" s="36" t="s">
        <v>141</v>
      </c>
      <c r="F23" s="36" t="s">
        <v>46</v>
      </c>
      <c r="G23" s="36" t="s">
        <v>35</v>
      </c>
      <c r="H23" s="36" t="s">
        <v>36</v>
      </c>
      <c r="I23" s="52" t="s">
        <v>37</v>
      </c>
      <c r="J23" s="36" t="s">
        <v>142</v>
      </c>
      <c r="K23" s="36" t="s">
        <v>57</v>
      </c>
      <c r="L23" s="36" t="s">
        <v>8</v>
      </c>
      <c r="M23" s="37" t="s">
        <v>143</v>
      </c>
      <c r="N23" s="38">
        <v>18458.62</v>
      </c>
      <c r="O23" s="39">
        <v>18398.88</v>
      </c>
      <c r="P23" s="47">
        <v>18398.88</v>
      </c>
      <c r="Q23" s="28" t="s">
        <v>144</v>
      </c>
      <c r="R23" s="29" t="s">
        <v>113</v>
      </c>
    </row>
    <row r="24" spans="1:18" hidden="1" x14ac:dyDescent="0.2">
      <c r="A24" s="36" t="s">
        <v>145</v>
      </c>
      <c r="B24" s="36" t="s">
        <v>30</v>
      </c>
      <c r="C24" s="36" t="s">
        <v>31</v>
      </c>
      <c r="D24" s="36" t="s">
        <v>140</v>
      </c>
      <c r="E24" s="36" t="s">
        <v>141</v>
      </c>
      <c r="F24" s="36" t="s">
        <v>46</v>
      </c>
      <c r="G24" s="36" t="s">
        <v>35</v>
      </c>
      <c r="H24" s="36" t="s">
        <v>36</v>
      </c>
      <c r="I24" s="52" t="s">
        <v>37</v>
      </c>
      <c r="J24" s="36" t="s">
        <v>110</v>
      </c>
      <c r="K24" s="36" t="s">
        <v>57</v>
      </c>
      <c r="L24" s="36" t="s">
        <v>9</v>
      </c>
      <c r="M24" s="37" t="s">
        <v>111</v>
      </c>
      <c r="N24" s="38">
        <v>485609.36</v>
      </c>
      <c r="O24" s="39">
        <v>495269.03</v>
      </c>
      <c r="P24" s="47">
        <v>495269.03</v>
      </c>
      <c r="Q24" s="28" t="s">
        <v>146</v>
      </c>
      <c r="R24" s="29" t="s">
        <v>147</v>
      </c>
    </row>
    <row r="25" spans="1:18" hidden="1" x14ac:dyDescent="0.2">
      <c r="A25" s="36" t="s">
        <v>148</v>
      </c>
      <c r="B25" s="36" t="s">
        <v>30</v>
      </c>
      <c r="C25" s="36" t="s">
        <v>31</v>
      </c>
      <c r="D25" s="36" t="s">
        <v>149</v>
      </c>
      <c r="E25" s="36" t="s">
        <v>150</v>
      </c>
      <c r="F25" s="36" t="s">
        <v>68</v>
      </c>
      <c r="G25" s="36" t="s">
        <v>35</v>
      </c>
      <c r="H25" s="36" t="s">
        <v>36</v>
      </c>
      <c r="I25" s="52" t="s">
        <v>95</v>
      </c>
      <c r="J25" s="36" t="s">
        <v>110</v>
      </c>
      <c r="K25" s="36" t="s">
        <v>39</v>
      </c>
      <c r="L25" s="36" t="s">
        <v>8</v>
      </c>
      <c r="M25" s="37" t="s">
        <v>111</v>
      </c>
      <c r="N25" s="38">
        <v>470303.53</v>
      </c>
      <c r="O25" s="39">
        <v>470303.53</v>
      </c>
      <c r="P25" s="47">
        <v>470303.53</v>
      </c>
      <c r="Q25" s="28" t="s">
        <v>151</v>
      </c>
      <c r="R25" s="29" t="s">
        <v>113</v>
      </c>
    </row>
    <row r="26" spans="1:18" hidden="1" x14ac:dyDescent="0.2">
      <c r="A26" s="36" t="s">
        <v>152</v>
      </c>
      <c r="B26" s="36" t="s">
        <v>30</v>
      </c>
      <c r="C26" s="36" t="s">
        <v>31</v>
      </c>
      <c r="D26" s="36" t="s">
        <v>153</v>
      </c>
      <c r="E26" s="36" t="s">
        <v>154</v>
      </c>
      <c r="F26" s="36" t="s">
        <v>46</v>
      </c>
      <c r="G26" s="36" t="s">
        <v>35</v>
      </c>
      <c r="H26" s="36" t="s">
        <v>36</v>
      </c>
      <c r="I26" s="52" t="s">
        <v>47</v>
      </c>
      <c r="J26" s="36" t="s">
        <v>110</v>
      </c>
      <c r="K26" s="36" t="s">
        <v>39</v>
      </c>
      <c r="L26" s="36" t="s">
        <v>9</v>
      </c>
      <c r="M26" s="37" t="s">
        <v>111</v>
      </c>
      <c r="N26" s="38">
        <v>485385.3</v>
      </c>
      <c r="O26" s="39">
        <v>485385.3</v>
      </c>
      <c r="P26" s="47">
        <v>485385.3</v>
      </c>
      <c r="Q26" s="28" t="s">
        <v>155</v>
      </c>
      <c r="R26" s="29" t="s">
        <v>113</v>
      </c>
    </row>
    <row r="27" spans="1:18" hidden="1" x14ac:dyDescent="0.2">
      <c r="A27" s="36" t="s">
        <v>156</v>
      </c>
      <c r="B27" s="36" t="s">
        <v>30</v>
      </c>
      <c r="C27" s="36" t="s">
        <v>31</v>
      </c>
      <c r="D27" s="36" t="s">
        <v>157</v>
      </c>
      <c r="E27" s="36" t="s">
        <v>158</v>
      </c>
      <c r="F27" s="36" t="s">
        <v>159</v>
      </c>
      <c r="G27" s="36" t="s">
        <v>35</v>
      </c>
      <c r="H27" s="36" t="s">
        <v>36</v>
      </c>
      <c r="I27" s="52" t="s">
        <v>101</v>
      </c>
      <c r="J27" s="36" t="s">
        <v>110</v>
      </c>
      <c r="K27" s="36" t="s">
        <v>39</v>
      </c>
      <c r="L27" s="36" t="s">
        <v>9</v>
      </c>
      <c r="M27" s="37" t="s">
        <v>111</v>
      </c>
      <c r="N27" s="38">
        <v>388889.52</v>
      </c>
      <c r="O27" s="39">
        <v>388889.52</v>
      </c>
      <c r="P27" s="47">
        <v>388889.52</v>
      </c>
      <c r="Q27" s="28" t="s">
        <v>160</v>
      </c>
      <c r="R27" s="29" t="s">
        <v>113</v>
      </c>
    </row>
    <row r="28" spans="1:18" hidden="1" x14ac:dyDescent="0.2">
      <c r="A28" s="36" t="s">
        <v>161</v>
      </c>
      <c r="B28" s="36" t="s">
        <v>30</v>
      </c>
      <c r="C28" s="36" t="s">
        <v>31</v>
      </c>
      <c r="D28" s="36" t="s">
        <v>162</v>
      </c>
      <c r="E28" s="36" t="s">
        <v>163</v>
      </c>
      <c r="F28" s="36" t="s">
        <v>46</v>
      </c>
      <c r="G28" s="36" t="s">
        <v>35</v>
      </c>
      <c r="H28" s="36" t="s">
        <v>36</v>
      </c>
      <c r="I28" s="52" t="s">
        <v>37</v>
      </c>
      <c r="J28" s="36" t="s">
        <v>110</v>
      </c>
      <c r="K28" s="36" t="s">
        <v>39</v>
      </c>
      <c r="L28" s="36" t="s">
        <v>9</v>
      </c>
      <c r="M28" s="37" t="s">
        <v>111</v>
      </c>
      <c r="N28" s="38">
        <v>483841.06</v>
      </c>
      <c r="O28" s="39">
        <v>483841.06</v>
      </c>
      <c r="P28" s="47">
        <v>483841.06</v>
      </c>
      <c r="Q28" s="28" t="s">
        <v>164</v>
      </c>
      <c r="R28" s="29" t="s">
        <v>113</v>
      </c>
    </row>
    <row r="29" spans="1:18" hidden="1" x14ac:dyDescent="0.2">
      <c r="A29" s="36" t="s">
        <v>165</v>
      </c>
      <c r="B29" s="36" t="s">
        <v>30</v>
      </c>
      <c r="C29" s="36" t="s">
        <v>31</v>
      </c>
      <c r="D29" s="36" t="s">
        <v>166</v>
      </c>
      <c r="E29" s="36" t="s">
        <v>167</v>
      </c>
      <c r="F29" s="36" t="s">
        <v>46</v>
      </c>
      <c r="G29" s="36" t="s">
        <v>35</v>
      </c>
      <c r="H29" s="36" t="s">
        <v>36</v>
      </c>
      <c r="I29" s="52" t="s">
        <v>37</v>
      </c>
      <c r="J29" s="36" t="s">
        <v>110</v>
      </c>
      <c r="K29" s="36" t="s">
        <v>39</v>
      </c>
      <c r="L29" s="36" t="s">
        <v>8</v>
      </c>
      <c r="M29" s="37" t="s">
        <v>111</v>
      </c>
      <c r="N29" s="38">
        <v>479830.09</v>
      </c>
      <c r="O29" s="39">
        <v>479830.08</v>
      </c>
      <c r="P29" s="47">
        <v>479830.08</v>
      </c>
      <c r="Q29" s="28" t="s">
        <v>168</v>
      </c>
      <c r="R29" s="29" t="s">
        <v>113</v>
      </c>
    </row>
    <row r="30" spans="1:18" hidden="1" x14ac:dyDescent="0.2">
      <c r="A30" s="36" t="s">
        <v>169</v>
      </c>
      <c r="B30" s="36" t="s">
        <v>30</v>
      </c>
      <c r="C30" s="36" t="s">
        <v>31</v>
      </c>
      <c r="D30" s="36" t="s">
        <v>170</v>
      </c>
      <c r="E30" s="36" t="s">
        <v>54</v>
      </c>
      <c r="F30" s="36" t="s">
        <v>55</v>
      </c>
      <c r="G30" s="36" t="s">
        <v>56</v>
      </c>
      <c r="H30" s="36" t="s">
        <v>36</v>
      </c>
      <c r="I30" s="52" t="s">
        <v>47</v>
      </c>
      <c r="J30" s="36" t="s">
        <v>110</v>
      </c>
      <c r="K30" s="36" t="s">
        <v>57</v>
      </c>
      <c r="L30" s="36" t="s">
        <v>8</v>
      </c>
      <c r="M30" s="37" t="s">
        <v>111</v>
      </c>
      <c r="N30" s="38">
        <v>490886</v>
      </c>
      <c r="O30" s="39">
        <v>516916.14</v>
      </c>
      <c r="P30" s="47">
        <v>516916.14</v>
      </c>
      <c r="Q30" s="28" t="s">
        <v>171</v>
      </c>
      <c r="R30" s="29" t="s">
        <v>113</v>
      </c>
    </row>
    <row r="31" spans="1:18" hidden="1" x14ac:dyDescent="0.2">
      <c r="A31" s="36" t="s">
        <v>172</v>
      </c>
      <c r="B31" s="36" t="s">
        <v>30</v>
      </c>
      <c r="C31" s="36" t="s">
        <v>31</v>
      </c>
      <c r="D31" s="36" t="s">
        <v>173</v>
      </c>
      <c r="E31" s="36" t="s">
        <v>99</v>
      </c>
      <c r="F31" s="36" t="s">
        <v>100</v>
      </c>
      <c r="G31" s="36" t="s">
        <v>35</v>
      </c>
      <c r="H31" s="36" t="s">
        <v>36</v>
      </c>
      <c r="I31" s="52" t="s">
        <v>101</v>
      </c>
      <c r="J31" s="36" t="s">
        <v>85</v>
      </c>
      <c r="K31" s="36" t="s">
        <v>134</v>
      </c>
      <c r="L31" s="36" t="s">
        <v>8</v>
      </c>
      <c r="M31" s="37" t="s">
        <v>174</v>
      </c>
      <c r="N31" s="38">
        <v>36751.199999999997</v>
      </c>
      <c r="O31" s="39">
        <v>36751.199999999997</v>
      </c>
      <c r="P31" s="47">
        <v>36751.199999999997</v>
      </c>
      <c r="Q31" s="28" t="s">
        <v>175</v>
      </c>
      <c r="R31" s="29" t="s">
        <v>113</v>
      </c>
    </row>
    <row r="32" spans="1:18" x14ac:dyDescent="0.2">
      <c r="A32" s="36" t="s">
        <v>176</v>
      </c>
      <c r="B32" s="36" t="s">
        <v>30</v>
      </c>
      <c r="C32" s="36" t="s">
        <v>31</v>
      </c>
      <c r="D32" s="36" t="s">
        <v>177</v>
      </c>
      <c r="E32" s="36" t="s">
        <v>119</v>
      </c>
      <c r="F32" s="36" t="s">
        <v>46</v>
      </c>
      <c r="G32" s="36" t="s">
        <v>35</v>
      </c>
      <c r="H32" s="36" t="s">
        <v>36</v>
      </c>
      <c r="I32" s="52" t="s">
        <v>101</v>
      </c>
      <c r="J32" s="36" t="s">
        <v>85</v>
      </c>
      <c r="K32" s="36" t="s">
        <v>57</v>
      </c>
      <c r="L32" s="36" t="s">
        <v>5</v>
      </c>
      <c r="M32" s="37" t="s">
        <v>178</v>
      </c>
      <c r="N32" s="38">
        <v>1544320.83</v>
      </c>
      <c r="O32" s="39">
        <v>1544320.83</v>
      </c>
      <c r="P32" s="47">
        <v>1544320.83</v>
      </c>
      <c r="Q32" s="28" t="s">
        <v>179</v>
      </c>
      <c r="R32" s="29" t="s">
        <v>180</v>
      </c>
    </row>
    <row r="33" spans="1:18" hidden="1" x14ac:dyDescent="0.2">
      <c r="A33" s="36" t="s">
        <v>181</v>
      </c>
      <c r="B33" s="36" t="s">
        <v>30</v>
      </c>
      <c r="C33" s="36" t="s">
        <v>31</v>
      </c>
      <c r="D33" s="36" t="s">
        <v>182</v>
      </c>
      <c r="E33" s="36" t="s">
        <v>99</v>
      </c>
      <c r="F33" s="36" t="s">
        <v>100</v>
      </c>
      <c r="G33" s="36" t="s">
        <v>35</v>
      </c>
      <c r="H33" s="36" t="s">
        <v>36</v>
      </c>
      <c r="I33" s="52" t="s">
        <v>37</v>
      </c>
      <c r="J33" s="36" t="s">
        <v>85</v>
      </c>
      <c r="K33" s="36" t="s">
        <v>39</v>
      </c>
      <c r="L33" s="36" t="s">
        <v>9</v>
      </c>
      <c r="M33" s="37" t="s">
        <v>178</v>
      </c>
      <c r="N33" s="38">
        <v>1961879.6</v>
      </c>
      <c r="O33" s="39">
        <v>1961879.6</v>
      </c>
      <c r="P33" s="47">
        <v>1961879.6</v>
      </c>
      <c r="Q33" s="28" t="s">
        <v>183</v>
      </c>
      <c r="R33" s="29" t="s">
        <v>180</v>
      </c>
    </row>
    <row r="34" spans="1:18" hidden="1" x14ac:dyDescent="0.2">
      <c r="A34" s="36" t="s">
        <v>184</v>
      </c>
      <c r="B34" s="36" t="s">
        <v>30</v>
      </c>
      <c r="C34" s="36" t="s">
        <v>31</v>
      </c>
      <c r="D34" s="36" t="s">
        <v>185</v>
      </c>
      <c r="E34" s="36" t="s">
        <v>186</v>
      </c>
      <c r="F34" s="36" t="s">
        <v>187</v>
      </c>
      <c r="G34" s="36" t="s">
        <v>35</v>
      </c>
      <c r="H34" s="36" t="s">
        <v>36</v>
      </c>
      <c r="I34" s="52" t="s">
        <v>37</v>
      </c>
      <c r="J34" s="36" t="s">
        <v>85</v>
      </c>
      <c r="K34" s="36" t="s">
        <v>134</v>
      </c>
      <c r="L34" s="36" t="s">
        <v>9</v>
      </c>
      <c r="M34" s="37" t="s">
        <v>178</v>
      </c>
      <c r="N34" s="38">
        <v>200000</v>
      </c>
      <c r="O34" s="39">
        <v>200000</v>
      </c>
      <c r="P34" s="47">
        <v>200000</v>
      </c>
      <c r="Q34" s="28" t="s">
        <v>188</v>
      </c>
      <c r="R34" s="29" t="s">
        <v>180</v>
      </c>
    </row>
    <row r="35" spans="1:18" x14ac:dyDescent="0.2">
      <c r="A35" s="36" t="s">
        <v>189</v>
      </c>
      <c r="B35" s="36" t="s">
        <v>30</v>
      </c>
      <c r="C35" s="36" t="s">
        <v>31</v>
      </c>
      <c r="D35" s="36" t="s">
        <v>190</v>
      </c>
      <c r="E35" s="36" t="s">
        <v>54</v>
      </c>
      <c r="F35" s="36" t="s">
        <v>55</v>
      </c>
      <c r="G35" s="36" t="s">
        <v>56</v>
      </c>
      <c r="H35" s="36" t="s">
        <v>36</v>
      </c>
      <c r="I35" s="52" t="s">
        <v>37</v>
      </c>
      <c r="J35" s="36" t="s">
        <v>85</v>
      </c>
      <c r="K35" s="36" t="s">
        <v>57</v>
      </c>
      <c r="L35" s="36" t="s">
        <v>5</v>
      </c>
      <c r="M35" s="37" t="s">
        <v>178</v>
      </c>
      <c r="N35" s="38">
        <v>1412289</v>
      </c>
      <c r="O35" s="39">
        <v>1412289</v>
      </c>
      <c r="P35" s="47">
        <v>1412289</v>
      </c>
      <c r="Q35" s="28" t="s">
        <v>191</v>
      </c>
      <c r="R35" s="29" t="s">
        <v>180</v>
      </c>
    </row>
    <row r="36" spans="1:18" hidden="1" x14ac:dyDescent="0.2">
      <c r="A36" s="36" t="s">
        <v>192</v>
      </c>
      <c r="B36" s="36" t="s">
        <v>30</v>
      </c>
      <c r="C36" s="36" t="s">
        <v>31</v>
      </c>
      <c r="D36" s="36" t="s">
        <v>193</v>
      </c>
      <c r="E36" s="36" t="s">
        <v>186</v>
      </c>
      <c r="F36" s="36" t="s">
        <v>187</v>
      </c>
      <c r="G36" s="36" t="s">
        <v>35</v>
      </c>
      <c r="H36" s="36" t="s">
        <v>36</v>
      </c>
      <c r="I36" s="52" t="s">
        <v>37</v>
      </c>
      <c r="J36" s="36" t="s">
        <v>85</v>
      </c>
      <c r="K36" s="36" t="s">
        <v>57</v>
      </c>
      <c r="L36" s="36" t="s">
        <v>9</v>
      </c>
      <c r="M36" s="37" t="s">
        <v>178</v>
      </c>
      <c r="N36" s="38">
        <v>1001596.43</v>
      </c>
      <c r="O36" s="39">
        <v>1001596.43</v>
      </c>
      <c r="P36" s="47">
        <v>1001596.43</v>
      </c>
      <c r="Q36" s="28" t="s">
        <v>194</v>
      </c>
      <c r="R36" s="29" t="s">
        <v>180</v>
      </c>
    </row>
    <row r="37" spans="1:18" hidden="1" x14ac:dyDescent="0.2">
      <c r="A37" s="36" t="s">
        <v>195</v>
      </c>
      <c r="B37" s="36" t="s">
        <v>30</v>
      </c>
      <c r="C37" s="36" t="s">
        <v>31</v>
      </c>
      <c r="D37" s="36" t="s">
        <v>196</v>
      </c>
      <c r="E37" s="36" t="s">
        <v>197</v>
      </c>
      <c r="F37" s="36" t="s">
        <v>55</v>
      </c>
      <c r="G37" s="36" t="s">
        <v>56</v>
      </c>
      <c r="H37" s="36" t="s">
        <v>36</v>
      </c>
      <c r="I37" s="52" t="s">
        <v>37</v>
      </c>
      <c r="J37" s="36" t="s">
        <v>85</v>
      </c>
      <c r="K37" s="36" t="s">
        <v>39</v>
      </c>
      <c r="L37" s="36" t="s">
        <v>8</v>
      </c>
      <c r="M37" s="37" t="s">
        <v>178</v>
      </c>
      <c r="N37" s="38">
        <v>233651.81</v>
      </c>
      <c r="O37" s="39">
        <v>233651.82</v>
      </c>
      <c r="P37" s="47">
        <v>233651.82</v>
      </c>
      <c r="Q37" s="28" t="s">
        <v>198</v>
      </c>
      <c r="R37" s="29" t="s">
        <v>180</v>
      </c>
    </row>
    <row r="38" spans="1:18" hidden="1" x14ac:dyDescent="0.2">
      <c r="A38" s="36" t="s">
        <v>199</v>
      </c>
      <c r="B38" s="36" t="s">
        <v>30</v>
      </c>
      <c r="C38" s="36" t="s">
        <v>31</v>
      </c>
      <c r="D38" s="36" t="s">
        <v>200</v>
      </c>
      <c r="E38" s="36" t="s">
        <v>201</v>
      </c>
      <c r="F38" s="36" t="s">
        <v>46</v>
      </c>
      <c r="G38" s="36" t="s">
        <v>35</v>
      </c>
      <c r="H38" s="36" t="s">
        <v>36</v>
      </c>
      <c r="I38" s="52" t="s">
        <v>37</v>
      </c>
      <c r="J38" s="36" t="s">
        <v>85</v>
      </c>
      <c r="K38" s="36" t="s">
        <v>57</v>
      </c>
      <c r="L38" s="36" t="s">
        <v>8</v>
      </c>
      <c r="M38" s="37" t="s">
        <v>202</v>
      </c>
      <c r="N38" s="38">
        <v>193378.71</v>
      </c>
      <c r="O38" s="39">
        <v>193378.71</v>
      </c>
      <c r="P38" s="47">
        <v>193378.71</v>
      </c>
      <c r="Q38" s="28" t="s">
        <v>203</v>
      </c>
      <c r="R38" s="29" t="s">
        <v>147</v>
      </c>
    </row>
    <row r="39" spans="1:18" hidden="1" x14ac:dyDescent="0.2">
      <c r="A39" s="36" t="s">
        <v>204</v>
      </c>
      <c r="B39" s="36" t="s">
        <v>30</v>
      </c>
      <c r="C39" s="36" t="s">
        <v>31</v>
      </c>
      <c r="D39" s="36" t="s">
        <v>205</v>
      </c>
      <c r="E39" s="36" t="s">
        <v>206</v>
      </c>
      <c r="F39" s="36" t="s">
        <v>159</v>
      </c>
      <c r="G39" s="36" t="s">
        <v>35</v>
      </c>
      <c r="H39" s="36" t="s">
        <v>36</v>
      </c>
      <c r="I39" s="52" t="s">
        <v>37</v>
      </c>
      <c r="J39" s="36" t="s">
        <v>85</v>
      </c>
      <c r="K39" s="36" t="s">
        <v>39</v>
      </c>
      <c r="L39" s="36" t="s">
        <v>8</v>
      </c>
      <c r="M39" s="37" t="s">
        <v>202</v>
      </c>
      <c r="N39" s="38">
        <v>505089.76</v>
      </c>
      <c r="O39" s="39">
        <v>494104.58</v>
      </c>
      <c r="P39" s="47">
        <v>494104.58</v>
      </c>
      <c r="Q39" s="28" t="s">
        <v>207</v>
      </c>
      <c r="R39" s="29" t="s">
        <v>147</v>
      </c>
    </row>
    <row r="40" spans="1:18" hidden="1" x14ac:dyDescent="0.2">
      <c r="A40" s="36" t="s">
        <v>208</v>
      </c>
      <c r="B40" s="36" t="s">
        <v>30</v>
      </c>
      <c r="C40" s="36" t="s">
        <v>31</v>
      </c>
      <c r="D40" s="36" t="s">
        <v>209</v>
      </c>
      <c r="E40" s="36" t="s">
        <v>210</v>
      </c>
      <c r="F40" s="36" t="s">
        <v>55</v>
      </c>
      <c r="G40" s="36" t="s">
        <v>56</v>
      </c>
      <c r="H40" s="36" t="s">
        <v>36</v>
      </c>
      <c r="I40" s="52" t="s">
        <v>101</v>
      </c>
      <c r="J40" s="36" t="s">
        <v>85</v>
      </c>
      <c r="K40" s="36" t="s">
        <v>57</v>
      </c>
      <c r="L40" s="36" t="s">
        <v>8</v>
      </c>
      <c r="M40" s="37" t="s">
        <v>202</v>
      </c>
      <c r="N40" s="38">
        <v>49936</v>
      </c>
      <c r="O40" s="39">
        <v>49936</v>
      </c>
      <c r="P40" s="47">
        <v>49936</v>
      </c>
      <c r="Q40" s="28" t="s">
        <v>211</v>
      </c>
      <c r="R40" s="29" t="s">
        <v>147</v>
      </c>
    </row>
    <row r="41" spans="1:18" hidden="1" x14ac:dyDescent="0.2">
      <c r="A41" s="36" t="s">
        <v>212</v>
      </c>
      <c r="B41" s="36" t="s">
        <v>30</v>
      </c>
      <c r="C41" s="36" t="s">
        <v>31</v>
      </c>
      <c r="D41" s="36" t="s">
        <v>213</v>
      </c>
      <c r="E41" s="36" t="s">
        <v>214</v>
      </c>
      <c r="F41" s="36" t="s">
        <v>46</v>
      </c>
      <c r="G41" s="36" t="s">
        <v>35</v>
      </c>
      <c r="H41" s="36" t="s">
        <v>36</v>
      </c>
      <c r="I41" s="52" t="s">
        <v>101</v>
      </c>
      <c r="J41" s="36" t="s">
        <v>85</v>
      </c>
      <c r="K41" s="36" t="s">
        <v>57</v>
      </c>
      <c r="L41" s="36" t="s">
        <v>8</v>
      </c>
      <c r="M41" s="37" t="s">
        <v>202</v>
      </c>
      <c r="N41" s="38">
        <v>46491.67</v>
      </c>
      <c r="O41" s="39">
        <v>46491.67</v>
      </c>
      <c r="P41" s="47">
        <v>46491.67</v>
      </c>
      <c r="Q41" s="28" t="s">
        <v>211</v>
      </c>
      <c r="R41" s="29" t="s">
        <v>147</v>
      </c>
    </row>
    <row r="42" spans="1:18" hidden="1" x14ac:dyDescent="0.2">
      <c r="A42" s="36" t="s">
        <v>215</v>
      </c>
      <c r="B42" s="36" t="s">
        <v>30</v>
      </c>
      <c r="C42" s="36" t="s">
        <v>31</v>
      </c>
      <c r="D42" s="36" t="s">
        <v>216</v>
      </c>
      <c r="E42" s="36" t="s">
        <v>186</v>
      </c>
      <c r="F42" s="36" t="s">
        <v>187</v>
      </c>
      <c r="G42" s="36" t="s">
        <v>35</v>
      </c>
      <c r="H42" s="36" t="s">
        <v>36</v>
      </c>
      <c r="I42" s="52" t="s">
        <v>37</v>
      </c>
      <c r="J42" s="36" t="s">
        <v>85</v>
      </c>
      <c r="K42" s="36" t="s">
        <v>57</v>
      </c>
      <c r="L42" s="36" t="s">
        <v>9</v>
      </c>
      <c r="M42" s="37" t="s">
        <v>202</v>
      </c>
      <c r="N42" s="38">
        <v>2000000</v>
      </c>
      <c r="O42" s="39">
        <v>2000000</v>
      </c>
      <c r="P42" s="47">
        <v>2000000</v>
      </c>
      <c r="Q42" s="28" t="s">
        <v>217</v>
      </c>
      <c r="R42" s="29" t="s">
        <v>147</v>
      </c>
    </row>
    <row r="43" spans="1:18" hidden="1" x14ac:dyDescent="0.2">
      <c r="A43" s="36" t="s">
        <v>218</v>
      </c>
      <c r="B43" s="36" t="s">
        <v>30</v>
      </c>
      <c r="C43" s="36" t="s">
        <v>31</v>
      </c>
      <c r="D43" s="36" t="s">
        <v>219</v>
      </c>
      <c r="E43" s="36" t="s">
        <v>220</v>
      </c>
      <c r="F43" s="36" t="s">
        <v>55</v>
      </c>
      <c r="G43" s="36" t="s">
        <v>56</v>
      </c>
      <c r="H43" s="36" t="s">
        <v>36</v>
      </c>
      <c r="I43" s="52" t="s">
        <v>37</v>
      </c>
      <c r="J43" s="36" t="s">
        <v>85</v>
      </c>
      <c r="K43" s="36" t="s">
        <v>39</v>
      </c>
      <c r="L43" s="36" t="s">
        <v>8</v>
      </c>
      <c r="M43" s="37" t="s">
        <v>202</v>
      </c>
      <c r="N43" s="38">
        <v>50000</v>
      </c>
      <c r="O43" s="39">
        <v>50000</v>
      </c>
      <c r="P43" s="47">
        <v>50000</v>
      </c>
      <c r="Q43" s="28" t="s">
        <v>221</v>
      </c>
      <c r="R43" s="29" t="s">
        <v>147</v>
      </c>
    </row>
    <row r="44" spans="1:18" hidden="1" x14ac:dyDescent="0.2">
      <c r="A44" s="36" t="s">
        <v>222</v>
      </c>
      <c r="B44" s="36" t="s">
        <v>30</v>
      </c>
      <c r="C44" s="36" t="s">
        <v>31</v>
      </c>
      <c r="D44" s="36" t="s">
        <v>223</v>
      </c>
      <c r="E44" s="36" t="s">
        <v>224</v>
      </c>
      <c r="F44" s="36" t="s">
        <v>55</v>
      </c>
      <c r="G44" s="36" t="s">
        <v>56</v>
      </c>
      <c r="H44" s="36" t="s">
        <v>36</v>
      </c>
      <c r="I44" s="52" t="s">
        <v>101</v>
      </c>
      <c r="J44" s="36" t="s">
        <v>85</v>
      </c>
      <c r="K44" s="36" t="s">
        <v>39</v>
      </c>
      <c r="L44" s="36" t="s">
        <v>9</v>
      </c>
      <c r="M44" s="37" t="s">
        <v>202</v>
      </c>
      <c r="N44" s="38">
        <v>21716.32</v>
      </c>
      <c r="O44" s="39">
        <v>26802.61</v>
      </c>
      <c r="P44" s="47">
        <v>26802.61</v>
      </c>
      <c r="Q44" s="28" t="s">
        <v>225</v>
      </c>
      <c r="R44" s="29" t="s">
        <v>147</v>
      </c>
    </row>
    <row r="45" spans="1:18" hidden="1" x14ac:dyDescent="0.2">
      <c r="A45" s="36" t="s">
        <v>226</v>
      </c>
      <c r="B45" s="36" t="s">
        <v>30</v>
      </c>
      <c r="C45" s="36" t="s">
        <v>31</v>
      </c>
      <c r="D45" s="36" t="s">
        <v>227</v>
      </c>
      <c r="E45" s="36" t="s">
        <v>197</v>
      </c>
      <c r="F45" s="36" t="s">
        <v>55</v>
      </c>
      <c r="G45" s="36" t="s">
        <v>56</v>
      </c>
      <c r="H45" s="36" t="s">
        <v>36</v>
      </c>
      <c r="I45" s="52" t="s">
        <v>37</v>
      </c>
      <c r="J45" s="36" t="s">
        <v>85</v>
      </c>
      <c r="K45" s="36" t="s">
        <v>39</v>
      </c>
      <c r="L45" s="36" t="s">
        <v>8</v>
      </c>
      <c r="M45" s="37" t="s">
        <v>202</v>
      </c>
      <c r="N45" s="38">
        <v>348227.43</v>
      </c>
      <c r="O45" s="39">
        <v>366182.89</v>
      </c>
      <c r="P45" s="47">
        <v>366182.89</v>
      </c>
      <c r="Q45" s="28" t="s">
        <v>228</v>
      </c>
      <c r="R45" s="29" t="s">
        <v>147</v>
      </c>
    </row>
    <row r="46" spans="1:18" hidden="1" x14ac:dyDescent="0.2">
      <c r="A46" s="36" t="s">
        <v>229</v>
      </c>
      <c r="B46" s="36" t="s">
        <v>30</v>
      </c>
      <c r="C46" s="36" t="s">
        <v>31</v>
      </c>
      <c r="D46" s="36" t="s">
        <v>230</v>
      </c>
      <c r="E46" s="36" t="s">
        <v>231</v>
      </c>
      <c r="F46" s="36" t="s">
        <v>232</v>
      </c>
      <c r="G46" s="36" t="s">
        <v>133</v>
      </c>
      <c r="H46" s="36" t="s">
        <v>36</v>
      </c>
      <c r="I46" s="52" t="s">
        <v>101</v>
      </c>
      <c r="J46" s="36" t="s">
        <v>85</v>
      </c>
      <c r="K46" s="36" t="s">
        <v>39</v>
      </c>
      <c r="L46" s="36" t="s">
        <v>8</v>
      </c>
      <c r="M46" s="37" t="s">
        <v>202</v>
      </c>
      <c r="N46" s="38">
        <v>19956.38</v>
      </c>
      <c r="O46" s="39">
        <v>18027.88</v>
      </c>
      <c r="P46" s="47">
        <v>18027.88</v>
      </c>
      <c r="Q46" s="28" t="s">
        <v>233</v>
      </c>
      <c r="R46" s="29" t="s">
        <v>147</v>
      </c>
    </row>
    <row r="47" spans="1:18" hidden="1" x14ac:dyDescent="0.2">
      <c r="A47" s="36" t="s">
        <v>234</v>
      </c>
      <c r="B47" s="36" t="s">
        <v>30</v>
      </c>
      <c r="C47" s="36" t="s">
        <v>31</v>
      </c>
      <c r="D47" s="36" t="s">
        <v>235</v>
      </c>
      <c r="E47" s="36" t="s">
        <v>236</v>
      </c>
      <c r="F47" s="36" t="s">
        <v>237</v>
      </c>
      <c r="G47" s="36" t="s">
        <v>35</v>
      </c>
      <c r="H47" s="36" t="s">
        <v>36</v>
      </c>
      <c r="I47" s="52" t="s">
        <v>37</v>
      </c>
      <c r="J47" s="36" t="s">
        <v>85</v>
      </c>
      <c r="K47" s="36" t="s">
        <v>39</v>
      </c>
      <c r="L47" s="36" t="s">
        <v>8</v>
      </c>
      <c r="M47" s="37" t="s">
        <v>202</v>
      </c>
      <c r="N47" s="38">
        <v>20000</v>
      </c>
      <c r="O47" s="39">
        <v>19984.900000000001</v>
      </c>
      <c r="P47" s="47">
        <v>19984.900000000001</v>
      </c>
      <c r="Q47" s="28" t="s">
        <v>238</v>
      </c>
      <c r="R47" s="29" t="s">
        <v>147</v>
      </c>
    </row>
    <row r="48" spans="1:18" hidden="1" x14ac:dyDescent="0.2">
      <c r="A48" s="36" t="s">
        <v>239</v>
      </c>
      <c r="B48" s="36" t="s">
        <v>30</v>
      </c>
      <c r="C48" s="36" t="s">
        <v>31</v>
      </c>
      <c r="D48" s="36" t="s">
        <v>240</v>
      </c>
      <c r="E48" s="36" t="s">
        <v>241</v>
      </c>
      <c r="F48" s="36" t="s">
        <v>242</v>
      </c>
      <c r="G48" s="36" t="s">
        <v>133</v>
      </c>
      <c r="H48" s="36" t="s">
        <v>36</v>
      </c>
      <c r="I48" s="52" t="s">
        <v>101</v>
      </c>
      <c r="J48" s="36" t="s">
        <v>85</v>
      </c>
      <c r="K48" s="36" t="s">
        <v>39</v>
      </c>
      <c r="L48" s="36" t="s">
        <v>8</v>
      </c>
      <c r="M48" s="37" t="s">
        <v>202</v>
      </c>
      <c r="N48" s="38">
        <v>20000</v>
      </c>
      <c r="O48" s="39">
        <v>20000</v>
      </c>
      <c r="P48" s="47">
        <v>20000</v>
      </c>
      <c r="Q48" s="28" t="s">
        <v>243</v>
      </c>
      <c r="R48" s="29" t="s">
        <v>147</v>
      </c>
    </row>
    <row r="49" spans="1:18" hidden="1" x14ac:dyDescent="0.2">
      <c r="A49" s="36" t="s">
        <v>244</v>
      </c>
      <c r="B49" s="36" t="s">
        <v>30</v>
      </c>
      <c r="C49" s="36" t="s">
        <v>31</v>
      </c>
      <c r="D49" s="36" t="s">
        <v>245</v>
      </c>
      <c r="E49" s="36" t="s">
        <v>246</v>
      </c>
      <c r="F49" s="36" t="s">
        <v>100</v>
      </c>
      <c r="G49" s="36" t="s">
        <v>35</v>
      </c>
      <c r="H49" s="36" t="s">
        <v>36</v>
      </c>
      <c r="I49" s="52" t="s">
        <v>101</v>
      </c>
      <c r="J49" s="36" t="s">
        <v>85</v>
      </c>
      <c r="K49" s="36" t="s">
        <v>39</v>
      </c>
      <c r="L49" s="36" t="s">
        <v>8</v>
      </c>
      <c r="M49" s="37" t="s">
        <v>202</v>
      </c>
      <c r="N49" s="38">
        <v>20000</v>
      </c>
      <c r="O49" s="39">
        <v>17128.09</v>
      </c>
      <c r="P49" s="47">
        <v>17128.09</v>
      </c>
      <c r="Q49" s="28" t="s">
        <v>247</v>
      </c>
      <c r="R49" s="29" t="s">
        <v>147</v>
      </c>
    </row>
    <row r="50" spans="1:18" hidden="1" x14ac:dyDescent="0.2">
      <c r="A50" s="36" t="s">
        <v>248</v>
      </c>
      <c r="B50" s="36" t="s">
        <v>30</v>
      </c>
      <c r="C50" s="36" t="s">
        <v>31</v>
      </c>
      <c r="D50" s="36" t="s">
        <v>249</v>
      </c>
      <c r="E50" s="36" t="s">
        <v>220</v>
      </c>
      <c r="F50" s="36" t="s">
        <v>55</v>
      </c>
      <c r="G50" s="36" t="s">
        <v>56</v>
      </c>
      <c r="H50" s="36" t="s">
        <v>36</v>
      </c>
      <c r="I50" s="52" t="s">
        <v>37</v>
      </c>
      <c r="J50" s="36" t="s">
        <v>85</v>
      </c>
      <c r="K50" s="36" t="s">
        <v>39</v>
      </c>
      <c r="L50" s="36" t="s">
        <v>8</v>
      </c>
      <c r="M50" s="37" t="s">
        <v>202</v>
      </c>
      <c r="N50" s="38">
        <v>99600</v>
      </c>
      <c r="O50" s="39">
        <v>99600</v>
      </c>
      <c r="P50" s="47">
        <v>99600</v>
      </c>
      <c r="Q50" s="28" t="s">
        <v>250</v>
      </c>
      <c r="R50" s="29" t="s">
        <v>147</v>
      </c>
    </row>
    <row r="51" spans="1:18" hidden="1" x14ac:dyDescent="0.2">
      <c r="A51" s="36" t="s">
        <v>251</v>
      </c>
      <c r="B51" s="36" t="s">
        <v>30</v>
      </c>
      <c r="C51" s="36" t="s">
        <v>31</v>
      </c>
      <c r="D51" s="36" t="s">
        <v>252</v>
      </c>
      <c r="E51" s="36" t="s">
        <v>253</v>
      </c>
      <c r="F51" s="36" t="s">
        <v>132</v>
      </c>
      <c r="G51" s="36" t="s">
        <v>133</v>
      </c>
      <c r="H51" s="36" t="s">
        <v>36</v>
      </c>
      <c r="I51" s="52" t="s">
        <v>37</v>
      </c>
      <c r="J51" s="36" t="s">
        <v>85</v>
      </c>
      <c r="K51" s="36" t="s">
        <v>39</v>
      </c>
      <c r="L51" s="36" t="s">
        <v>8</v>
      </c>
      <c r="M51" s="37" t="s">
        <v>202</v>
      </c>
      <c r="N51" s="38">
        <v>19666.57</v>
      </c>
      <c r="O51" s="39">
        <v>14824.65</v>
      </c>
      <c r="P51" s="47">
        <v>14824.65</v>
      </c>
      <c r="Q51" s="28" t="s">
        <v>254</v>
      </c>
      <c r="R51" s="29" t="s">
        <v>147</v>
      </c>
    </row>
    <row r="52" spans="1:18" hidden="1" x14ac:dyDescent="0.2">
      <c r="A52" s="36" t="s">
        <v>255</v>
      </c>
      <c r="B52" s="36" t="s">
        <v>30</v>
      </c>
      <c r="C52" s="36" t="s">
        <v>31</v>
      </c>
      <c r="D52" s="36" t="s">
        <v>256</v>
      </c>
      <c r="E52" s="36" t="s">
        <v>257</v>
      </c>
      <c r="F52" s="36" t="s">
        <v>55</v>
      </c>
      <c r="G52" s="36" t="s">
        <v>56</v>
      </c>
      <c r="H52" s="36" t="s">
        <v>36</v>
      </c>
      <c r="I52" s="52" t="s">
        <v>101</v>
      </c>
      <c r="J52" s="36" t="s">
        <v>85</v>
      </c>
      <c r="K52" s="36" t="s">
        <v>57</v>
      </c>
      <c r="L52" s="36" t="s">
        <v>8</v>
      </c>
      <c r="M52" s="37" t="s">
        <v>202</v>
      </c>
      <c r="N52" s="38">
        <v>20000</v>
      </c>
      <c r="O52" s="39">
        <v>12258.9</v>
      </c>
      <c r="P52" s="47">
        <v>12258.9</v>
      </c>
      <c r="Q52" s="28" t="s">
        <v>258</v>
      </c>
      <c r="R52" s="29" t="s">
        <v>147</v>
      </c>
    </row>
    <row r="53" spans="1:18" hidden="1" x14ac:dyDescent="0.2">
      <c r="A53" s="36" t="s">
        <v>259</v>
      </c>
      <c r="B53" s="36" t="s">
        <v>30</v>
      </c>
      <c r="C53" s="36" t="s">
        <v>31</v>
      </c>
      <c r="D53" s="36" t="s">
        <v>260</v>
      </c>
      <c r="E53" s="36" t="s">
        <v>261</v>
      </c>
      <c r="F53" s="36" t="s">
        <v>159</v>
      </c>
      <c r="G53" s="36" t="s">
        <v>35</v>
      </c>
      <c r="H53" s="36" t="s">
        <v>36</v>
      </c>
      <c r="I53" s="52" t="s">
        <v>101</v>
      </c>
      <c r="J53" s="36" t="s">
        <v>262</v>
      </c>
      <c r="K53" s="36" t="s">
        <v>134</v>
      </c>
      <c r="L53" s="36" t="s">
        <v>8</v>
      </c>
      <c r="M53" s="37" t="s">
        <v>263</v>
      </c>
      <c r="N53" s="42">
        <v>40621.269999999997</v>
      </c>
      <c r="O53" s="39">
        <v>40621.269999999997</v>
      </c>
      <c r="P53" s="47">
        <v>40621.269999999997</v>
      </c>
      <c r="Q53" s="28" t="s">
        <v>264</v>
      </c>
      <c r="R53" s="29" t="s">
        <v>82</v>
      </c>
    </row>
    <row r="54" spans="1:18" x14ac:dyDescent="0.2">
      <c r="A54" s="36" t="s">
        <v>265</v>
      </c>
      <c r="B54" s="36" t="s">
        <v>30</v>
      </c>
      <c r="C54" s="36" t="s">
        <v>31</v>
      </c>
      <c r="D54" s="36" t="s">
        <v>266</v>
      </c>
      <c r="E54" s="36" t="s">
        <v>99</v>
      </c>
      <c r="F54" s="36" t="s">
        <v>100</v>
      </c>
      <c r="G54" s="36" t="s">
        <v>35</v>
      </c>
      <c r="H54" s="36" t="s">
        <v>36</v>
      </c>
      <c r="I54" s="52" t="s">
        <v>95</v>
      </c>
      <c r="J54" s="36" t="s">
        <v>262</v>
      </c>
      <c r="K54" s="36" t="s">
        <v>134</v>
      </c>
      <c r="L54" s="36" t="s">
        <v>5</v>
      </c>
      <c r="M54" s="37" t="s">
        <v>263</v>
      </c>
      <c r="N54" s="42">
        <v>4991729.57</v>
      </c>
      <c r="O54" s="39">
        <v>5375750.0899999999</v>
      </c>
      <c r="P54" s="47">
        <v>5375750.0899999999</v>
      </c>
      <c r="Q54" s="28" t="s">
        <v>267</v>
      </c>
      <c r="R54" s="29" t="s">
        <v>82</v>
      </c>
    </row>
    <row r="55" spans="1:18" x14ac:dyDescent="0.2">
      <c r="A55" s="36" t="s">
        <v>268</v>
      </c>
      <c r="B55" s="36" t="s">
        <v>30</v>
      </c>
      <c r="C55" s="36" t="s">
        <v>31</v>
      </c>
      <c r="D55" s="36" t="s">
        <v>269</v>
      </c>
      <c r="E55" s="36" t="s">
        <v>99</v>
      </c>
      <c r="F55" s="36" t="s">
        <v>100</v>
      </c>
      <c r="G55" s="36" t="s">
        <v>35</v>
      </c>
      <c r="H55" s="36" t="s">
        <v>36</v>
      </c>
      <c r="I55" s="52" t="s">
        <v>95</v>
      </c>
      <c r="J55" s="36" t="s">
        <v>262</v>
      </c>
      <c r="K55" s="36" t="s">
        <v>134</v>
      </c>
      <c r="L55" s="36" t="s">
        <v>5</v>
      </c>
      <c r="M55" s="37" t="s">
        <v>263</v>
      </c>
      <c r="N55" s="42">
        <v>3240788.92</v>
      </c>
      <c r="O55" s="39">
        <v>3240788.92</v>
      </c>
      <c r="P55" s="47">
        <v>3240788.92</v>
      </c>
      <c r="Q55" s="28" t="s">
        <v>270</v>
      </c>
      <c r="R55" s="29" t="s">
        <v>82</v>
      </c>
    </row>
    <row r="56" spans="1:18" hidden="1" x14ac:dyDescent="0.2">
      <c r="A56" s="36" t="s">
        <v>271</v>
      </c>
      <c r="B56" s="36" t="s">
        <v>30</v>
      </c>
      <c r="C56" s="36" t="s">
        <v>31</v>
      </c>
      <c r="D56" s="36" t="s">
        <v>272</v>
      </c>
      <c r="E56" s="36" t="s">
        <v>273</v>
      </c>
      <c r="F56" s="36" t="s">
        <v>274</v>
      </c>
      <c r="G56" s="36" t="s">
        <v>35</v>
      </c>
      <c r="H56" s="36" t="s">
        <v>36</v>
      </c>
      <c r="I56" s="52" t="s">
        <v>101</v>
      </c>
      <c r="J56" s="36" t="s">
        <v>262</v>
      </c>
      <c r="K56" s="36" t="s">
        <v>134</v>
      </c>
      <c r="L56" s="36" t="s">
        <v>9</v>
      </c>
      <c r="M56" s="37" t="s">
        <v>263</v>
      </c>
      <c r="N56" s="39">
        <v>99996</v>
      </c>
      <c r="O56" s="39">
        <v>149996</v>
      </c>
      <c r="P56" s="47">
        <v>149996</v>
      </c>
      <c r="Q56" s="30" t="s">
        <v>275</v>
      </c>
      <c r="R56" s="29" t="s">
        <v>82</v>
      </c>
    </row>
    <row r="57" spans="1:18" hidden="1" x14ac:dyDescent="0.2">
      <c r="A57" s="36" t="s">
        <v>276</v>
      </c>
      <c r="B57" s="36" t="s">
        <v>30</v>
      </c>
      <c r="C57" s="36" t="s">
        <v>31</v>
      </c>
      <c r="D57" s="36" t="s">
        <v>277</v>
      </c>
      <c r="E57" s="36" t="s">
        <v>278</v>
      </c>
      <c r="F57" s="36" t="s">
        <v>46</v>
      </c>
      <c r="G57" s="36" t="s">
        <v>35</v>
      </c>
      <c r="H57" s="36" t="s">
        <v>36</v>
      </c>
      <c r="I57" s="52" t="s">
        <v>37</v>
      </c>
      <c r="J57" s="36" t="s">
        <v>262</v>
      </c>
      <c r="K57" s="36" t="s">
        <v>134</v>
      </c>
      <c r="L57" s="36" t="s">
        <v>9</v>
      </c>
      <c r="M57" s="37">
        <v>44834</v>
      </c>
      <c r="N57" s="42">
        <v>451572.01</v>
      </c>
      <c r="O57" s="39">
        <v>451572.01</v>
      </c>
      <c r="P57" s="47">
        <v>451572.01</v>
      </c>
      <c r="Q57" s="28" t="s">
        <v>279</v>
      </c>
      <c r="R57" s="29" t="s">
        <v>82</v>
      </c>
    </row>
    <row r="58" spans="1:18" x14ac:dyDescent="0.2">
      <c r="A58" s="36" t="s">
        <v>280</v>
      </c>
      <c r="B58" s="36" t="s">
        <v>30</v>
      </c>
      <c r="C58" s="36" t="s">
        <v>31</v>
      </c>
      <c r="D58" s="36" t="s">
        <v>281</v>
      </c>
      <c r="E58" s="36" t="s">
        <v>282</v>
      </c>
      <c r="F58" s="36" t="s">
        <v>283</v>
      </c>
      <c r="G58" s="36" t="s">
        <v>133</v>
      </c>
      <c r="H58" s="36" t="s">
        <v>36</v>
      </c>
      <c r="I58" s="52" t="s">
        <v>47</v>
      </c>
      <c r="J58" s="43" t="s">
        <v>284</v>
      </c>
      <c r="K58" s="36" t="s">
        <v>134</v>
      </c>
      <c r="L58" s="36" t="s">
        <v>5</v>
      </c>
      <c r="M58" s="37" t="s">
        <v>285</v>
      </c>
      <c r="N58" s="42">
        <v>1967644</v>
      </c>
      <c r="O58" s="39">
        <v>1967644</v>
      </c>
      <c r="P58" s="47">
        <v>1967644</v>
      </c>
      <c r="Q58" s="28" t="s">
        <v>286</v>
      </c>
      <c r="R58" s="29" t="s">
        <v>287</v>
      </c>
    </row>
    <row r="59" spans="1:18" x14ac:dyDescent="0.2">
      <c r="A59" s="36" t="s">
        <v>288</v>
      </c>
      <c r="B59" s="36" t="s">
        <v>30</v>
      </c>
      <c r="C59" s="36" t="s">
        <v>31</v>
      </c>
      <c r="D59" s="36" t="s">
        <v>289</v>
      </c>
      <c r="E59" s="36" t="s">
        <v>91</v>
      </c>
      <c r="F59" s="36" t="s">
        <v>55</v>
      </c>
      <c r="G59" s="36" t="s">
        <v>56</v>
      </c>
      <c r="H59" s="36" t="s">
        <v>36</v>
      </c>
      <c r="I59" s="52" t="s">
        <v>47</v>
      </c>
      <c r="J59" s="43" t="s">
        <v>284</v>
      </c>
      <c r="K59" s="36" t="s">
        <v>134</v>
      </c>
      <c r="L59" s="36" t="s">
        <v>5</v>
      </c>
      <c r="M59" s="37" t="s">
        <v>285</v>
      </c>
      <c r="N59" s="42">
        <v>153635.67000000001</v>
      </c>
      <c r="O59" s="39">
        <v>153635.67000000001</v>
      </c>
      <c r="P59" s="47">
        <v>153635.67000000001</v>
      </c>
      <c r="Q59" s="28" t="s">
        <v>290</v>
      </c>
      <c r="R59" s="29" t="s">
        <v>287</v>
      </c>
    </row>
    <row r="60" spans="1:18" x14ac:dyDescent="0.2">
      <c r="A60" s="36" t="s">
        <v>291</v>
      </c>
      <c r="B60" s="36" t="s">
        <v>30</v>
      </c>
      <c r="C60" s="36" t="s">
        <v>31</v>
      </c>
      <c r="D60" s="36" t="s">
        <v>289</v>
      </c>
      <c r="E60" s="36" t="s">
        <v>292</v>
      </c>
      <c r="F60" s="36" t="s">
        <v>232</v>
      </c>
      <c r="G60" s="36" t="s">
        <v>133</v>
      </c>
      <c r="H60" s="36" t="s">
        <v>36</v>
      </c>
      <c r="I60" s="52" t="s">
        <v>47</v>
      </c>
      <c r="J60" s="43" t="s">
        <v>284</v>
      </c>
      <c r="K60" s="36" t="s">
        <v>134</v>
      </c>
      <c r="L60" s="36" t="s">
        <v>5</v>
      </c>
      <c r="M60" s="37" t="s">
        <v>285</v>
      </c>
      <c r="N60" s="42">
        <v>1954921.6</v>
      </c>
      <c r="O60" s="39">
        <v>1954921.6</v>
      </c>
      <c r="P60" s="47">
        <v>1954921.6</v>
      </c>
      <c r="Q60" s="28" t="s">
        <v>293</v>
      </c>
      <c r="R60" s="29" t="s">
        <v>287</v>
      </c>
    </row>
    <row r="61" spans="1:18" x14ac:dyDescent="0.2">
      <c r="A61" s="36" t="s">
        <v>294</v>
      </c>
      <c r="B61" s="36" t="s">
        <v>30</v>
      </c>
      <c r="C61" s="36" t="s">
        <v>31</v>
      </c>
      <c r="D61" s="36" t="s">
        <v>295</v>
      </c>
      <c r="E61" s="36" t="s">
        <v>296</v>
      </c>
      <c r="F61" s="36" t="s">
        <v>297</v>
      </c>
      <c r="G61" s="36" t="s">
        <v>35</v>
      </c>
      <c r="H61" s="36" t="s">
        <v>36</v>
      </c>
      <c r="I61" s="52" t="s">
        <v>47</v>
      </c>
      <c r="J61" s="43" t="s">
        <v>284</v>
      </c>
      <c r="K61" s="36" t="s">
        <v>134</v>
      </c>
      <c r="L61" s="36" t="s">
        <v>5</v>
      </c>
      <c r="M61" s="37" t="s">
        <v>285</v>
      </c>
      <c r="N61" s="42">
        <v>1916402.35</v>
      </c>
      <c r="O61" s="39">
        <v>1964772.31</v>
      </c>
      <c r="P61" s="47">
        <v>1964772.31</v>
      </c>
      <c r="Q61" s="28" t="s">
        <v>298</v>
      </c>
      <c r="R61" s="29" t="s">
        <v>287</v>
      </c>
    </row>
    <row r="62" spans="1:18" x14ac:dyDescent="0.2">
      <c r="A62" s="36" t="s">
        <v>299</v>
      </c>
      <c r="B62" s="36" t="s">
        <v>30</v>
      </c>
      <c r="C62" s="36" t="s">
        <v>31</v>
      </c>
      <c r="D62" s="36" t="s">
        <v>300</v>
      </c>
      <c r="E62" s="36" t="s">
        <v>301</v>
      </c>
      <c r="F62" s="36" t="s">
        <v>302</v>
      </c>
      <c r="G62" s="36" t="s">
        <v>133</v>
      </c>
      <c r="H62" s="36" t="s">
        <v>36</v>
      </c>
      <c r="I62" s="52" t="s">
        <v>47</v>
      </c>
      <c r="J62" s="43" t="s">
        <v>284</v>
      </c>
      <c r="K62" s="36" t="s">
        <v>134</v>
      </c>
      <c r="L62" s="36" t="s">
        <v>5</v>
      </c>
      <c r="M62" s="37" t="s">
        <v>285</v>
      </c>
      <c r="N62" s="42">
        <v>1765252.84</v>
      </c>
      <c r="O62" s="39">
        <v>1656716.78</v>
      </c>
      <c r="P62" s="47">
        <v>1656716.78</v>
      </c>
      <c r="Q62" s="28" t="s">
        <v>303</v>
      </c>
      <c r="R62" s="29" t="s">
        <v>287</v>
      </c>
    </row>
    <row r="63" spans="1:18" x14ac:dyDescent="0.2">
      <c r="A63" s="36" t="s">
        <v>304</v>
      </c>
      <c r="B63" s="36" t="s">
        <v>30</v>
      </c>
      <c r="C63" s="36" t="s">
        <v>31</v>
      </c>
      <c r="D63" s="36" t="s">
        <v>305</v>
      </c>
      <c r="E63" s="36" t="s">
        <v>306</v>
      </c>
      <c r="F63" s="36" t="s">
        <v>307</v>
      </c>
      <c r="G63" s="36" t="s">
        <v>133</v>
      </c>
      <c r="H63" s="36" t="s">
        <v>36</v>
      </c>
      <c r="I63" s="52" t="s">
        <v>47</v>
      </c>
      <c r="J63" s="43" t="s">
        <v>284</v>
      </c>
      <c r="K63" s="36" t="s">
        <v>134</v>
      </c>
      <c r="L63" s="36" t="s">
        <v>5</v>
      </c>
      <c r="M63" s="37" t="s">
        <v>285</v>
      </c>
      <c r="N63" s="42">
        <v>2081241</v>
      </c>
      <c r="O63" s="39">
        <v>2081241</v>
      </c>
      <c r="P63" s="47">
        <v>2081241</v>
      </c>
      <c r="Q63" s="28" t="s">
        <v>308</v>
      </c>
      <c r="R63" s="29" t="s">
        <v>287</v>
      </c>
    </row>
    <row r="64" spans="1:18" x14ac:dyDescent="0.2">
      <c r="A64" s="36" t="s">
        <v>309</v>
      </c>
      <c r="B64" s="36" t="s">
        <v>30</v>
      </c>
      <c r="C64" s="36" t="s">
        <v>31</v>
      </c>
      <c r="D64" s="36" t="s">
        <v>310</v>
      </c>
      <c r="E64" s="36" t="s">
        <v>311</v>
      </c>
      <c r="F64" s="36" t="s">
        <v>312</v>
      </c>
      <c r="G64" s="36" t="s">
        <v>133</v>
      </c>
      <c r="H64" s="36" t="s">
        <v>36</v>
      </c>
      <c r="I64" s="52" t="s">
        <v>47</v>
      </c>
      <c r="J64" s="43" t="s">
        <v>284</v>
      </c>
      <c r="K64" s="36" t="s">
        <v>134</v>
      </c>
      <c r="L64" s="36" t="s">
        <v>5</v>
      </c>
      <c r="M64" s="37" t="s">
        <v>285</v>
      </c>
      <c r="N64" s="42">
        <v>1995263</v>
      </c>
      <c r="O64" s="39">
        <v>1700152</v>
      </c>
      <c r="P64" s="47">
        <v>1700152</v>
      </c>
      <c r="Q64" s="28" t="s">
        <v>313</v>
      </c>
      <c r="R64" s="29" t="s">
        <v>287</v>
      </c>
    </row>
    <row r="65" spans="1:18" x14ac:dyDescent="0.2">
      <c r="A65" s="36" t="s">
        <v>314</v>
      </c>
      <c r="B65" s="36" t="s">
        <v>30</v>
      </c>
      <c r="C65" s="36" t="s">
        <v>31</v>
      </c>
      <c r="D65" s="36" t="s">
        <v>315</v>
      </c>
      <c r="E65" s="36" t="s">
        <v>316</v>
      </c>
      <c r="F65" s="36" t="s">
        <v>132</v>
      </c>
      <c r="G65" s="36" t="s">
        <v>133</v>
      </c>
      <c r="H65" s="36" t="s">
        <v>36</v>
      </c>
      <c r="I65" s="52" t="s">
        <v>47</v>
      </c>
      <c r="J65" s="44" t="s">
        <v>284</v>
      </c>
      <c r="K65" s="36" t="s">
        <v>134</v>
      </c>
      <c r="L65" s="36" t="s">
        <v>5</v>
      </c>
      <c r="M65" s="37" t="s">
        <v>285</v>
      </c>
      <c r="N65" s="42">
        <v>2059071</v>
      </c>
      <c r="O65" s="39">
        <v>2059071</v>
      </c>
      <c r="P65" s="47">
        <v>2059071</v>
      </c>
      <c r="Q65" s="28" t="s">
        <v>317</v>
      </c>
      <c r="R65" s="29" t="s">
        <v>287</v>
      </c>
    </row>
    <row r="66" spans="1:18" x14ac:dyDescent="0.2">
      <c r="A66" s="36" t="s">
        <v>318</v>
      </c>
      <c r="B66" s="36" t="s">
        <v>30</v>
      </c>
      <c r="C66" s="36" t="s">
        <v>31</v>
      </c>
      <c r="D66" s="36" t="s">
        <v>319</v>
      </c>
      <c r="E66" s="36" t="s">
        <v>320</v>
      </c>
      <c r="F66" s="36" t="s">
        <v>132</v>
      </c>
      <c r="G66" s="36" t="s">
        <v>133</v>
      </c>
      <c r="H66" s="36" t="s">
        <v>36</v>
      </c>
      <c r="I66" s="52" t="s">
        <v>47</v>
      </c>
      <c r="J66" s="43" t="s">
        <v>284</v>
      </c>
      <c r="K66" s="36" t="s">
        <v>134</v>
      </c>
      <c r="L66" s="36" t="s">
        <v>5</v>
      </c>
      <c r="M66" s="37" t="s">
        <v>285</v>
      </c>
      <c r="N66" s="42">
        <v>1923263</v>
      </c>
      <c r="O66" s="39">
        <v>1923263</v>
      </c>
      <c r="P66" s="47">
        <v>1923263</v>
      </c>
      <c r="Q66" s="28" t="s">
        <v>321</v>
      </c>
      <c r="R66" s="29" t="s">
        <v>287</v>
      </c>
    </row>
    <row r="67" spans="1:18" x14ac:dyDescent="0.2">
      <c r="A67" s="36" t="s">
        <v>322</v>
      </c>
      <c r="B67" s="36" t="s">
        <v>30</v>
      </c>
      <c r="C67" s="36" t="s">
        <v>31</v>
      </c>
      <c r="D67" s="36" t="s">
        <v>323</v>
      </c>
      <c r="E67" s="36" t="s">
        <v>324</v>
      </c>
      <c r="F67" s="36" t="s">
        <v>325</v>
      </c>
      <c r="G67" s="36" t="s">
        <v>133</v>
      </c>
      <c r="H67" s="36" t="s">
        <v>36</v>
      </c>
      <c r="I67" s="52" t="s">
        <v>47</v>
      </c>
      <c r="J67" s="43" t="s">
        <v>284</v>
      </c>
      <c r="K67" s="36" t="s">
        <v>134</v>
      </c>
      <c r="L67" s="36" t="s">
        <v>5</v>
      </c>
      <c r="M67" s="37" t="s">
        <v>285</v>
      </c>
      <c r="N67" s="42">
        <v>1361278.51</v>
      </c>
      <c r="O67" s="39">
        <v>1361278.51</v>
      </c>
      <c r="P67" s="47">
        <v>1361278.51</v>
      </c>
      <c r="Q67" s="28" t="s">
        <v>326</v>
      </c>
      <c r="R67" s="29" t="s">
        <v>287</v>
      </c>
    </row>
    <row r="68" spans="1:18" x14ac:dyDescent="0.2">
      <c r="A68" s="36" t="s">
        <v>327</v>
      </c>
      <c r="B68" s="36" t="s">
        <v>30</v>
      </c>
      <c r="C68" s="36" t="s">
        <v>31</v>
      </c>
      <c r="D68" s="36" t="s">
        <v>328</v>
      </c>
      <c r="E68" s="36" t="s">
        <v>91</v>
      </c>
      <c r="F68" s="36" t="s">
        <v>55</v>
      </c>
      <c r="G68" s="36" t="s">
        <v>56</v>
      </c>
      <c r="H68" s="36" t="s">
        <v>36</v>
      </c>
      <c r="I68" s="52" t="s">
        <v>37</v>
      </c>
      <c r="J68" s="36" t="s">
        <v>329</v>
      </c>
      <c r="K68" s="36" t="s">
        <v>134</v>
      </c>
      <c r="L68" s="36" t="s">
        <v>5</v>
      </c>
      <c r="M68" s="37" t="s">
        <v>330</v>
      </c>
      <c r="N68" s="42">
        <v>2039784</v>
      </c>
      <c r="O68" s="39">
        <v>2039784</v>
      </c>
      <c r="P68" s="47">
        <v>2039784</v>
      </c>
      <c r="Q68" s="28" t="s">
        <v>331</v>
      </c>
      <c r="R68" s="29" t="s">
        <v>287</v>
      </c>
    </row>
    <row r="69" spans="1:18" x14ac:dyDescent="0.2">
      <c r="A69" s="36" t="s">
        <v>332</v>
      </c>
      <c r="B69" s="36" t="s">
        <v>30</v>
      </c>
      <c r="C69" s="36" t="s">
        <v>31</v>
      </c>
      <c r="D69" s="36" t="s">
        <v>333</v>
      </c>
      <c r="E69" s="36" t="s">
        <v>61</v>
      </c>
      <c r="F69" s="36" t="s">
        <v>55</v>
      </c>
      <c r="G69" s="36" t="s">
        <v>56</v>
      </c>
      <c r="H69" s="36" t="s">
        <v>36</v>
      </c>
      <c r="I69" s="52" t="s">
        <v>37</v>
      </c>
      <c r="J69" s="36" t="s">
        <v>329</v>
      </c>
      <c r="K69" s="36" t="s">
        <v>134</v>
      </c>
      <c r="L69" s="36" t="s">
        <v>5</v>
      </c>
      <c r="M69" s="37" t="s">
        <v>330</v>
      </c>
      <c r="N69" s="42">
        <v>1698601</v>
      </c>
      <c r="O69" s="39">
        <v>1698601</v>
      </c>
      <c r="P69" s="47">
        <v>1698601</v>
      </c>
      <c r="Q69" s="28" t="s">
        <v>334</v>
      </c>
      <c r="R69" s="29" t="s">
        <v>287</v>
      </c>
    </row>
    <row r="70" spans="1:18" x14ac:dyDescent="0.2">
      <c r="A70" s="36" t="s">
        <v>335</v>
      </c>
      <c r="B70" s="36" t="s">
        <v>30</v>
      </c>
      <c r="C70" s="36" t="s">
        <v>31</v>
      </c>
      <c r="D70" s="36" t="s">
        <v>336</v>
      </c>
      <c r="E70" s="36" t="s">
        <v>127</v>
      </c>
      <c r="F70" s="36" t="s">
        <v>46</v>
      </c>
      <c r="G70" s="36" t="s">
        <v>35</v>
      </c>
      <c r="H70" s="36" t="s">
        <v>36</v>
      </c>
      <c r="I70" s="52" t="s">
        <v>37</v>
      </c>
      <c r="J70" s="36" t="s">
        <v>329</v>
      </c>
      <c r="K70" s="36" t="s">
        <v>134</v>
      </c>
      <c r="L70" s="36" t="s">
        <v>5</v>
      </c>
      <c r="M70" s="37" t="s">
        <v>330</v>
      </c>
      <c r="N70" s="42">
        <v>1623480.61</v>
      </c>
      <c r="O70" s="39">
        <v>1623480.61</v>
      </c>
      <c r="P70" s="47">
        <v>1623480.61</v>
      </c>
      <c r="Q70" s="28" t="s">
        <v>337</v>
      </c>
      <c r="R70" s="29" t="s">
        <v>287</v>
      </c>
    </row>
    <row r="71" spans="1:18" x14ac:dyDescent="0.2">
      <c r="A71" s="36" t="s">
        <v>338</v>
      </c>
      <c r="B71" s="36" t="s">
        <v>30</v>
      </c>
      <c r="C71" s="36" t="s">
        <v>31</v>
      </c>
      <c r="D71" s="36" t="s">
        <v>339</v>
      </c>
      <c r="E71" s="36" t="s">
        <v>340</v>
      </c>
      <c r="F71" s="36" t="s">
        <v>55</v>
      </c>
      <c r="G71" s="36" t="s">
        <v>56</v>
      </c>
      <c r="H71" s="36" t="s">
        <v>36</v>
      </c>
      <c r="I71" s="52" t="s">
        <v>37</v>
      </c>
      <c r="J71" s="36" t="s">
        <v>329</v>
      </c>
      <c r="K71" s="36" t="s">
        <v>134</v>
      </c>
      <c r="L71" s="36" t="s">
        <v>5</v>
      </c>
      <c r="M71" s="37" t="s">
        <v>330</v>
      </c>
      <c r="N71" s="42">
        <v>938611</v>
      </c>
      <c r="O71" s="39">
        <v>938611</v>
      </c>
      <c r="P71" s="47">
        <v>938611</v>
      </c>
      <c r="Q71" s="28" t="s">
        <v>341</v>
      </c>
      <c r="R71" s="29" t="s">
        <v>287</v>
      </c>
    </row>
    <row r="72" spans="1:18" x14ac:dyDescent="0.2">
      <c r="A72" s="36" t="s">
        <v>342</v>
      </c>
      <c r="B72" s="36" t="s">
        <v>30</v>
      </c>
      <c r="C72" s="36" t="s">
        <v>31</v>
      </c>
      <c r="D72" s="36" t="s">
        <v>343</v>
      </c>
      <c r="E72" s="36" t="s">
        <v>344</v>
      </c>
      <c r="F72" s="36" t="s">
        <v>46</v>
      </c>
      <c r="G72" s="36" t="s">
        <v>35</v>
      </c>
      <c r="H72" s="36" t="s">
        <v>36</v>
      </c>
      <c r="I72" s="52" t="s">
        <v>37</v>
      </c>
      <c r="J72" s="36" t="s">
        <v>329</v>
      </c>
      <c r="K72" s="36" t="s">
        <v>134</v>
      </c>
      <c r="L72" s="36" t="s">
        <v>5</v>
      </c>
      <c r="M72" s="37" t="s">
        <v>330</v>
      </c>
      <c r="N72" s="42">
        <v>1833266.18</v>
      </c>
      <c r="O72" s="39">
        <v>1833266.18</v>
      </c>
      <c r="P72" s="47">
        <v>1833266.18</v>
      </c>
      <c r="Q72" s="28" t="s">
        <v>345</v>
      </c>
      <c r="R72" s="29" t="s">
        <v>287</v>
      </c>
    </row>
    <row r="73" spans="1:18" x14ac:dyDescent="0.2">
      <c r="A73" s="36" t="s">
        <v>346</v>
      </c>
      <c r="B73" s="36" t="s">
        <v>30</v>
      </c>
      <c r="C73" s="36" t="s">
        <v>31</v>
      </c>
      <c r="D73" s="36" t="s">
        <v>347</v>
      </c>
      <c r="E73" s="36" t="s">
        <v>348</v>
      </c>
      <c r="F73" s="36" t="s">
        <v>55</v>
      </c>
      <c r="G73" s="36" t="s">
        <v>56</v>
      </c>
      <c r="H73" s="36" t="s">
        <v>36</v>
      </c>
      <c r="I73" s="52" t="s">
        <v>37</v>
      </c>
      <c r="J73" s="36" t="s">
        <v>329</v>
      </c>
      <c r="K73" s="36" t="s">
        <v>134</v>
      </c>
      <c r="L73" s="36" t="s">
        <v>5</v>
      </c>
      <c r="M73" s="37" t="s">
        <v>330</v>
      </c>
      <c r="N73" s="42">
        <v>1993812</v>
      </c>
      <c r="O73" s="39">
        <v>1993812</v>
      </c>
      <c r="P73" s="47">
        <v>1993812</v>
      </c>
      <c r="Q73" s="28" t="s">
        <v>349</v>
      </c>
      <c r="R73" s="29" t="s">
        <v>287</v>
      </c>
    </row>
    <row r="74" spans="1:18" x14ac:dyDescent="0.2">
      <c r="A74" s="36" t="s">
        <v>350</v>
      </c>
      <c r="B74" s="36" t="s">
        <v>30</v>
      </c>
      <c r="C74" s="36" t="s">
        <v>31</v>
      </c>
      <c r="D74" s="36" t="s">
        <v>351</v>
      </c>
      <c r="E74" s="36" t="s">
        <v>352</v>
      </c>
      <c r="F74" s="36" t="s">
        <v>46</v>
      </c>
      <c r="G74" s="36" t="s">
        <v>35</v>
      </c>
      <c r="H74" s="36" t="s">
        <v>36</v>
      </c>
      <c r="I74" s="52" t="s">
        <v>37</v>
      </c>
      <c r="J74" s="36" t="s">
        <v>329</v>
      </c>
      <c r="K74" s="36" t="s">
        <v>134</v>
      </c>
      <c r="L74" s="36" t="s">
        <v>7</v>
      </c>
      <c r="M74" s="37" t="s">
        <v>330</v>
      </c>
      <c r="N74" s="42">
        <v>1388536.51</v>
      </c>
      <c r="O74" s="39">
        <v>1388536.51</v>
      </c>
      <c r="P74" s="47">
        <v>1388536.51</v>
      </c>
      <c r="Q74" s="28" t="s">
        <v>353</v>
      </c>
      <c r="R74" s="29" t="s">
        <v>287</v>
      </c>
    </row>
    <row r="75" spans="1:18" x14ac:dyDescent="0.2">
      <c r="A75" s="36" t="s">
        <v>354</v>
      </c>
      <c r="B75" s="36" t="s">
        <v>30</v>
      </c>
      <c r="C75" s="36" t="s">
        <v>31</v>
      </c>
      <c r="D75" s="36" t="s">
        <v>355</v>
      </c>
      <c r="E75" s="36" t="s">
        <v>224</v>
      </c>
      <c r="F75" s="36" t="s">
        <v>55</v>
      </c>
      <c r="G75" s="36" t="s">
        <v>56</v>
      </c>
      <c r="H75" s="36" t="s">
        <v>36</v>
      </c>
      <c r="I75" s="52" t="s">
        <v>37</v>
      </c>
      <c r="J75" s="36" t="s">
        <v>329</v>
      </c>
      <c r="K75" s="36" t="s">
        <v>134</v>
      </c>
      <c r="L75" s="36" t="s">
        <v>5</v>
      </c>
      <c r="M75" s="37" t="s">
        <v>330</v>
      </c>
      <c r="N75" s="42">
        <v>2039907</v>
      </c>
      <c r="O75" s="39">
        <v>2039907</v>
      </c>
      <c r="P75" s="47">
        <v>2039907</v>
      </c>
      <c r="Q75" s="28" t="s">
        <v>356</v>
      </c>
      <c r="R75" s="29" t="s">
        <v>287</v>
      </c>
    </row>
    <row r="76" spans="1:18" x14ac:dyDescent="0.2">
      <c r="A76" s="36" t="s">
        <v>357</v>
      </c>
      <c r="B76" s="36" t="s">
        <v>30</v>
      </c>
      <c r="C76" s="36" t="s">
        <v>31</v>
      </c>
      <c r="D76" s="36" t="s">
        <v>358</v>
      </c>
      <c r="E76" s="36" t="s">
        <v>359</v>
      </c>
      <c r="F76" s="36" t="s">
        <v>360</v>
      </c>
      <c r="G76" s="36" t="s">
        <v>35</v>
      </c>
      <c r="H76" s="36" t="s">
        <v>36</v>
      </c>
      <c r="I76" s="52" t="s">
        <v>37</v>
      </c>
      <c r="J76" s="36" t="s">
        <v>329</v>
      </c>
      <c r="K76" s="36" t="s">
        <v>134</v>
      </c>
      <c r="L76" s="36" t="s">
        <v>5</v>
      </c>
      <c r="M76" s="37" t="s">
        <v>330</v>
      </c>
      <c r="N76" s="42">
        <v>1491605.61</v>
      </c>
      <c r="O76" s="39">
        <v>1491605.61</v>
      </c>
      <c r="P76" s="47">
        <v>1491605.61</v>
      </c>
      <c r="Q76" s="28" t="s">
        <v>361</v>
      </c>
      <c r="R76" s="29" t="s">
        <v>287</v>
      </c>
    </row>
    <row r="77" spans="1:18" x14ac:dyDescent="0.2">
      <c r="A77" s="36" t="s">
        <v>362</v>
      </c>
      <c r="B77" s="36" t="s">
        <v>30</v>
      </c>
      <c r="C77" s="36" t="s">
        <v>31</v>
      </c>
      <c r="D77" s="36" t="s">
        <v>363</v>
      </c>
      <c r="E77" s="36" t="s">
        <v>364</v>
      </c>
      <c r="F77" s="36" t="s">
        <v>46</v>
      </c>
      <c r="G77" s="36" t="s">
        <v>35</v>
      </c>
      <c r="H77" s="36" t="s">
        <v>36</v>
      </c>
      <c r="I77" s="52" t="s">
        <v>37</v>
      </c>
      <c r="J77" s="36" t="s">
        <v>329</v>
      </c>
      <c r="K77" s="36" t="s">
        <v>134</v>
      </c>
      <c r="L77" s="36" t="s">
        <v>5</v>
      </c>
      <c r="M77" s="37" t="s">
        <v>330</v>
      </c>
      <c r="N77" s="42">
        <v>1831633.5</v>
      </c>
      <c r="O77" s="39">
        <v>1831633.5</v>
      </c>
      <c r="P77" s="47">
        <v>1831633.5</v>
      </c>
      <c r="Q77" s="28" t="s">
        <v>365</v>
      </c>
      <c r="R77" s="29" t="s">
        <v>287</v>
      </c>
    </row>
    <row r="78" spans="1:18" x14ac:dyDescent="0.2">
      <c r="A78" s="36" t="s">
        <v>366</v>
      </c>
      <c r="B78" s="36" t="s">
        <v>30</v>
      </c>
      <c r="C78" s="36" t="s">
        <v>31</v>
      </c>
      <c r="D78" s="36" t="s">
        <v>367</v>
      </c>
      <c r="E78" s="36" t="s">
        <v>54</v>
      </c>
      <c r="F78" s="36" t="s">
        <v>55</v>
      </c>
      <c r="G78" s="36" t="s">
        <v>56</v>
      </c>
      <c r="H78" s="36" t="s">
        <v>36</v>
      </c>
      <c r="I78" s="52" t="s">
        <v>37</v>
      </c>
      <c r="J78" s="36" t="s">
        <v>262</v>
      </c>
      <c r="K78" s="36" t="s">
        <v>134</v>
      </c>
      <c r="L78" s="36" t="s">
        <v>5</v>
      </c>
      <c r="M78" s="37" t="s">
        <v>368</v>
      </c>
      <c r="N78" s="42">
        <v>3568090</v>
      </c>
      <c r="O78" s="39">
        <v>3568090</v>
      </c>
      <c r="P78" s="47">
        <v>3568090</v>
      </c>
      <c r="Q78" s="28" t="s">
        <v>369</v>
      </c>
      <c r="R78" s="29" t="s">
        <v>287</v>
      </c>
    </row>
    <row r="79" spans="1:18" x14ac:dyDescent="0.2">
      <c r="A79" s="36" t="s">
        <v>370</v>
      </c>
      <c r="B79" s="36" t="s">
        <v>30</v>
      </c>
      <c r="C79" s="36" t="s">
        <v>31</v>
      </c>
      <c r="D79" s="36" t="s">
        <v>371</v>
      </c>
      <c r="E79" s="36" t="s">
        <v>372</v>
      </c>
      <c r="F79" s="36" t="s">
        <v>68</v>
      </c>
      <c r="G79" s="36" t="s">
        <v>35</v>
      </c>
      <c r="H79" s="36" t="s">
        <v>36</v>
      </c>
      <c r="I79" s="52" t="s">
        <v>95</v>
      </c>
      <c r="J79" s="43" t="s">
        <v>373</v>
      </c>
      <c r="K79" s="36" t="s">
        <v>134</v>
      </c>
      <c r="L79" s="36" t="s">
        <v>5</v>
      </c>
      <c r="M79" s="37" t="s">
        <v>374</v>
      </c>
      <c r="N79" s="42">
        <v>1914745.15</v>
      </c>
      <c r="O79" s="39">
        <v>1914745.15</v>
      </c>
      <c r="P79" s="47">
        <v>1914745.15</v>
      </c>
      <c r="Q79" s="28" t="s">
        <v>375</v>
      </c>
      <c r="R79" s="29" t="s">
        <v>287</v>
      </c>
    </row>
    <row r="80" spans="1:18" x14ac:dyDescent="0.2">
      <c r="A80" s="36" t="s">
        <v>376</v>
      </c>
      <c r="B80" s="36" t="s">
        <v>30</v>
      </c>
      <c r="C80" s="36" t="s">
        <v>31</v>
      </c>
      <c r="D80" s="36" t="s">
        <v>377</v>
      </c>
      <c r="E80" s="36" t="s">
        <v>54</v>
      </c>
      <c r="F80" s="36" t="s">
        <v>55</v>
      </c>
      <c r="G80" s="36" t="s">
        <v>56</v>
      </c>
      <c r="H80" s="36" t="s">
        <v>36</v>
      </c>
      <c r="I80" s="52" t="s">
        <v>95</v>
      </c>
      <c r="J80" s="43" t="s">
        <v>373</v>
      </c>
      <c r="K80" s="36" t="s">
        <v>134</v>
      </c>
      <c r="L80" s="36" t="s">
        <v>5</v>
      </c>
      <c r="M80" s="37" t="s">
        <v>374</v>
      </c>
      <c r="N80" s="42">
        <v>2049397</v>
      </c>
      <c r="O80" s="39">
        <v>2049397</v>
      </c>
      <c r="P80" s="47">
        <v>2049397</v>
      </c>
      <c r="Q80" s="28" t="s">
        <v>378</v>
      </c>
      <c r="R80" s="29" t="s">
        <v>287</v>
      </c>
    </row>
    <row r="81" spans="1:18" x14ac:dyDescent="0.2">
      <c r="A81" s="36" t="s">
        <v>379</v>
      </c>
      <c r="B81" s="36" t="s">
        <v>30</v>
      </c>
      <c r="C81" s="36" t="s">
        <v>31</v>
      </c>
      <c r="D81" s="36" t="s">
        <v>380</v>
      </c>
      <c r="E81" s="36" t="s">
        <v>381</v>
      </c>
      <c r="F81" s="36" t="s">
        <v>55</v>
      </c>
      <c r="G81" s="36" t="s">
        <v>56</v>
      </c>
      <c r="H81" s="36" t="s">
        <v>36</v>
      </c>
      <c r="I81" s="52" t="s">
        <v>95</v>
      </c>
      <c r="J81" s="44" t="s">
        <v>373</v>
      </c>
      <c r="K81" s="36" t="s">
        <v>134</v>
      </c>
      <c r="L81" s="36" t="s">
        <v>5</v>
      </c>
      <c r="M81" s="37" t="s">
        <v>374</v>
      </c>
      <c r="N81" s="42">
        <v>2056943</v>
      </c>
      <c r="O81" s="39">
        <v>2056943</v>
      </c>
      <c r="P81" s="47">
        <v>2056943</v>
      </c>
      <c r="Q81" s="28" t="s">
        <v>382</v>
      </c>
      <c r="R81" s="29" t="s">
        <v>287</v>
      </c>
    </row>
    <row r="82" spans="1:18" x14ac:dyDescent="0.2">
      <c r="A82" s="36" t="s">
        <v>383</v>
      </c>
      <c r="B82" s="36" t="s">
        <v>30</v>
      </c>
      <c r="C82" s="36" t="s">
        <v>31</v>
      </c>
      <c r="D82" s="36" t="s">
        <v>384</v>
      </c>
      <c r="E82" s="36" t="s">
        <v>91</v>
      </c>
      <c r="F82" s="36" t="s">
        <v>55</v>
      </c>
      <c r="G82" s="36" t="s">
        <v>56</v>
      </c>
      <c r="H82" s="36" t="s">
        <v>36</v>
      </c>
      <c r="I82" s="52" t="s">
        <v>95</v>
      </c>
      <c r="J82" s="43" t="s">
        <v>373</v>
      </c>
      <c r="K82" s="36" t="s">
        <v>134</v>
      </c>
      <c r="L82" s="36" t="s">
        <v>5</v>
      </c>
      <c r="M82" s="37" t="s">
        <v>374</v>
      </c>
      <c r="N82" s="42">
        <v>815737</v>
      </c>
      <c r="O82" s="39">
        <v>815737</v>
      </c>
      <c r="P82" s="47">
        <v>815737</v>
      </c>
      <c r="Q82" s="28" t="s">
        <v>385</v>
      </c>
      <c r="R82" s="29" t="s">
        <v>287</v>
      </c>
    </row>
    <row r="83" spans="1:18" x14ac:dyDescent="0.2">
      <c r="A83" s="36" t="s">
        <v>386</v>
      </c>
      <c r="B83" s="36" t="s">
        <v>30</v>
      </c>
      <c r="C83" s="36" t="s">
        <v>31</v>
      </c>
      <c r="D83" s="36" t="s">
        <v>387</v>
      </c>
      <c r="E83" s="36" t="s">
        <v>388</v>
      </c>
      <c r="F83" s="36" t="s">
        <v>68</v>
      </c>
      <c r="G83" s="36" t="s">
        <v>35</v>
      </c>
      <c r="H83" s="36" t="s">
        <v>36</v>
      </c>
      <c r="I83" s="52" t="s">
        <v>95</v>
      </c>
      <c r="J83" s="44" t="s">
        <v>373</v>
      </c>
      <c r="K83" s="36" t="s">
        <v>134</v>
      </c>
      <c r="L83" s="36" t="s">
        <v>5</v>
      </c>
      <c r="M83" s="37" t="s">
        <v>374</v>
      </c>
      <c r="N83" s="42">
        <v>2050809</v>
      </c>
      <c r="O83" s="39">
        <v>2050809</v>
      </c>
      <c r="P83" s="47">
        <v>2050809</v>
      </c>
      <c r="Q83" s="28" t="s">
        <v>389</v>
      </c>
      <c r="R83" s="29" t="s">
        <v>287</v>
      </c>
    </row>
    <row r="84" spans="1:18" x14ac:dyDescent="0.2">
      <c r="A84" s="36" t="s">
        <v>390</v>
      </c>
      <c r="B84" s="36" t="s">
        <v>30</v>
      </c>
      <c r="C84" s="36" t="s">
        <v>31</v>
      </c>
      <c r="D84" s="36" t="s">
        <v>391</v>
      </c>
      <c r="E84" s="36" t="s">
        <v>311</v>
      </c>
      <c r="F84" s="36" t="s">
        <v>312</v>
      </c>
      <c r="G84" s="36" t="s">
        <v>133</v>
      </c>
      <c r="H84" s="36" t="s">
        <v>36</v>
      </c>
      <c r="I84" s="52" t="s">
        <v>95</v>
      </c>
      <c r="J84" s="43" t="s">
        <v>373</v>
      </c>
      <c r="K84" s="36" t="s">
        <v>134</v>
      </c>
      <c r="L84" s="36" t="s">
        <v>5</v>
      </c>
      <c r="M84" s="37" t="s">
        <v>374</v>
      </c>
      <c r="N84" s="42">
        <v>1946070</v>
      </c>
      <c r="O84" s="39">
        <v>1946070</v>
      </c>
      <c r="P84" s="47">
        <v>1946070</v>
      </c>
      <c r="Q84" s="28" t="s">
        <v>392</v>
      </c>
      <c r="R84" s="29" t="s">
        <v>287</v>
      </c>
    </row>
    <row r="85" spans="1:18" x14ac:dyDescent="0.2">
      <c r="A85" s="36" t="s">
        <v>393</v>
      </c>
      <c r="B85" s="36" t="s">
        <v>30</v>
      </c>
      <c r="C85" s="36" t="s">
        <v>31</v>
      </c>
      <c r="D85" s="36" t="s">
        <v>394</v>
      </c>
      <c r="E85" s="36" t="s">
        <v>395</v>
      </c>
      <c r="F85" s="36" t="s">
        <v>232</v>
      </c>
      <c r="G85" s="36" t="s">
        <v>133</v>
      </c>
      <c r="H85" s="36" t="s">
        <v>36</v>
      </c>
      <c r="I85" s="52" t="s">
        <v>95</v>
      </c>
      <c r="J85" s="43" t="s">
        <v>373</v>
      </c>
      <c r="K85" s="36" t="s">
        <v>134</v>
      </c>
      <c r="L85" s="36" t="s">
        <v>5</v>
      </c>
      <c r="M85" s="37" t="s">
        <v>374</v>
      </c>
      <c r="N85" s="42">
        <v>1833066.53</v>
      </c>
      <c r="O85" s="39">
        <v>1483813.4</v>
      </c>
      <c r="P85" s="47">
        <v>1483813.4</v>
      </c>
      <c r="Q85" s="28" t="s">
        <v>396</v>
      </c>
      <c r="R85" s="29" t="s">
        <v>287</v>
      </c>
    </row>
    <row r="86" spans="1:18" x14ac:dyDescent="0.2">
      <c r="A86" s="36" t="s">
        <v>397</v>
      </c>
      <c r="B86" s="36" t="s">
        <v>30</v>
      </c>
      <c r="C86" s="36" t="s">
        <v>31</v>
      </c>
      <c r="D86" s="36" t="s">
        <v>394</v>
      </c>
      <c r="E86" s="36" t="s">
        <v>78</v>
      </c>
      <c r="F86" s="36" t="s">
        <v>55</v>
      </c>
      <c r="G86" s="36" t="s">
        <v>56</v>
      </c>
      <c r="H86" s="36" t="s">
        <v>36</v>
      </c>
      <c r="I86" s="52" t="s">
        <v>95</v>
      </c>
      <c r="J86" s="43" t="s">
        <v>373</v>
      </c>
      <c r="K86" s="36" t="s">
        <v>134</v>
      </c>
      <c r="L86" s="36" t="s">
        <v>5</v>
      </c>
      <c r="M86" s="37" t="s">
        <v>374</v>
      </c>
      <c r="N86" s="42">
        <v>319301</v>
      </c>
      <c r="O86" s="39">
        <v>319301</v>
      </c>
      <c r="P86" s="47">
        <v>319301</v>
      </c>
      <c r="Q86" s="30" t="s">
        <v>398</v>
      </c>
      <c r="R86" s="29" t="s">
        <v>287</v>
      </c>
    </row>
    <row r="87" spans="1:18" x14ac:dyDescent="0.2">
      <c r="A87" s="36" t="s">
        <v>399</v>
      </c>
      <c r="B87" s="36" t="s">
        <v>30</v>
      </c>
      <c r="C87" s="36" t="s">
        <v>31</v>
      </c>
      <c r="D87" s="36" t="s">
        <v>400</v>
      </c>
      <c r="E87" s="36" t="s">
        <v>401</v>
      </c>
      <c r="F87" s="36" t="s">
        <v>55</v>
      </c>
      <c r="G87" s="36" t="s">
        <v>56</v>
      </c>
      <c r="H87" s="36" t="s">
        <v>36</v>
      </c>
      <c r="I87" s="52" t="s">
        <v>95</v>
      </c>
      <c r="J87" s="43" t="s">
        <v>373</v>
      </c>
      <c r="K87" s="36" t="s">
        <v>134</v>
      </c>
      <c r="L87" s="36" t="s">
        <v>5</v>
      </c>
      <c r="M87" s="37" t="s">
        <v>374</v>
      </c>
      <c r="N87" s="42">
        <v>1970587.29</v>
      </c>
      <c r="O87" s="39">
        <v>1970587.29</v>
      </c>
      <c r="P87" s="47">
        <v>1970587.29</v>
      </c>
      <c r="Q87" s="28" t="s">
        <v>402</v>
      </c>
      <c r="R87" s="29" t="s">
        <v>287</v>
      </c>
    </row>
    <row r="88" spans="1:18" x14ac:dyDescent="0.2">
      <c r="A88" s="36" t="s">
        <v>403</v>
      </c>
      <c r="B88" s="36" t="s">
        <v>30</v>
      </c>
      <c r="C88" s="36" t="s">
        <v>31</v>
      </c>
      <c r="D88" s="36" t="s">
        <v>404</v>
      </c>
      <c r="E88" s="36" t="s">
        <v>320</v>
      </c>
      <c r="F88" s="36" t="s">
        <v>132</v>
      </c>
      <c r="G88" s="36" t="s">
        <v>133</v>
      </c>
      <c r="H88" s="36" t="s">
        <v>36</v>
      </c>
      <c r="I88" s="52" t="s">
        <v>95</v>
      </c>
      <c r="J88" s="45" t="s">
        <v>373</v>
      </c>
      <c r="K88" s="36" t="s">
        <v>134</v>
      </c>
      <c r="L88" s="36" t="s">
        <v>7</v>
      </c>
      <c r="M88" s="37" t="s">
        <v>374</v>
      </c>
      <c r="N88" s="42">
        <v>2060000</v>
      </c>
      <c r="O88" s="39">
        <v>2060000</v>
      </c>
      <c r="P88" s="47">
        <v>2060000</v>
      </c>
      <c r="Q88" s="28" t="s">
        <v>405</v>
      </c>
      <c r="R88" s="29" t="s">
        <v>287</v>
      </c>
    </row>
    <row r="89" spans="1:18" x14ac:dyDescent="0.2">
      <c r="A89" s="36" t="s">
        <v>406</v>
      </c>
      <c r="B89" s="36" t="s">
        <v>30</v>
      </c>
      <c r="C89" s="36" t="s">
        <v>31</v>
      </c>
      <c r="D89" s="36" t="s">
        <v>407</v>
      </c>
      <c r="E89" s="36" t="s">
        <v>408</v>
      </c>
      <c r="F89" s="36" t="s">
        <v>132</v>
      </c>
      <c r="G89" s="36" t="s">
        <v>133</v>
      </c>
      <c r="H89" s="36" t="s">
        <v>36</v>
      </c>
      <c r="I89" s="52" t="s">
        <v>409</v>
      </c>
      <c r="J89" s="36" t="s">
        <v>410</v>
      </c>
      <c r="K89" s="36" t="s">
        <v>134</v>
      </c>
      <c r="L89" s="36" t="s">
        <v>5</v>
      </c>
      <c r="M89" s="37" t="s">
        <v>411</v>
      </c>
      <c r="N89" s="42">
        <v>6369109.2400000002</v>
      </c>
      <c r="O89" s="39">
        <v>6369109.2400000002</v>
      </c>
      <c r="P89" s="47">
        <v>6369109.2400000002</v>
      </c>
      <c r="Q89" s="28" t="s">
        <v>412</v>
      </c>
      <c r="R89" s="29" t="s">
        <v>287</v>
      </c>
    </row>
    <row r="90" spans="1:18" x14ac:dyDescent="0.2">
      <c r="A90" s="36" t="s">
        <v>413</v>
      </c>
      <c r="B90" s="36" t="s">
        <v>30</v>
      </c>
      <c r="C90" s="36" t="s">
        <v>31</v>
      </c>
      <c r="D90" s="36" t="s">
        <v>414</v>
      </c>
      <c r="E90" s="36" t="s">
        <v>78</v>
      </c>
      <c r="F90" s="36" t="s">
        <v>55</v>
      </c>
      <c r="G90" s="36" t="s">
        <v>56</v>
      </c>
      <c r="H90" s="36" t="s">
        <v>36</v>
      </c>
      <c r="I90" s="52" t="s">
        <v>47</v>
      </c>
      <c r="J90" s="36" t="s">
        <v>410</v>
      </c>
      <c r="K90" s="36" t="s">
        <v>134</v>
      </c>
      <c r="L90" s="36" t="s">
        <v>5</v>
      </c>
      <c r="M90" s="37" t="s">
        <v>411</v>
      </c>
      <c r="N90" s="42">
        <v>6369460</v>
      </c>
      <c r="O90" s="39">
        <v>6369460</v>
      </c>
      <c r="P90" s="47">
        <v>6369460</v>
      </c>
      <c r="Q90" s="28" t="s">
        <v>415</v>
      </c>
      <c r="R90" s="29" t="s">
        <v>287</v>
      </c>
    </row>
    <row r="91" spans="1:18" x14ac:dyDescent="0.2">
      <c r="A91" s="36" t="s">
        <v>416</v>
      </c>
      <c r="B91" s="36" t="s">
        <v>30</v>
      </c>
      <c r="C91" s="36" t="s">
        <v>31</v>
      </c>
      <c r="D91" s="36" t="s">
        <v>417</v>
      </c>
      <c r="E91" s="36" t="s">
        <v>45</v>
      </c>
      <c r="F91" s="36" t="s">
        <v>46</v>
      </c>
      <c r="G91" s="36" t="s">
        <v>35</v>
      </c>
      <c r="H91" s="36" t="s">
        <v>36</v>
      </c>
      <c r="I91" s="52" t="s">
        <v>101</v>
      </c>
      <c r="J91" s="36" t="s">
        <v>410</v>
      </c>
      <c r="K91" s="36" t="s">
        <v>134</v>
      </c>
      <c r="L91" s="36" t="s">
        <v>5</v>
      </c>
      <c r="M91" s="37" t="s">
        <v>411</v>
      </c>
      <c r="N91" s="42">
        <v>6055978.7000000002</v>
      </c>
      <c r="O91" s="39">
        <v>6055978.7000000002</v>
      </c>
      <c r="P91" s="47">
        <v>6055978.7000000002</v>
      </c>
      <c r="Q91" s="28" t="s">
        <v>418</v>
      </c>
      <c r="R91" s="29" t="s">
        <v>287</v>
      </c>
    </row>
    <row r="92" spans="1:18" x14ac:dyDescent="0.2">
      <c r="A92" s="36" t="s">
        <v>419</v>
      </c>
      <c r="B92" s="36" t="s">
        <v>30</v>
      </c>
      <c r="C92" s="36" t="s">
        <v>31</v>
      </c>
      <c r="D92" s="36" t="s">
        <v>420</v>
      </c>
      <c r="E92" s="36" t="s">
        <v>421</v>
      </c>
      <c r="F92" s="36" t="s">
        <v>55</v>
      </c>
      <c r="G92" s="36" t="s">
        <v>56</v>
      </c>
      <c r="H92" s="36" t="s">
        <v>36</v>
      </c>
      <c r="I92" s="52" t="s">
        <v>95</v>
      </c>
      <c r="J92" s="36" t="s">
        <v>422</v>
      </c>
      <c r="K92" s="36" t="s">
        <v>134</v>
      </c>
      <c r="L92" s="36" t="s">
        <v>5</v>
      </c>
      <c r="M92" s="37" t="s">
        <v>423</v>
      </c>
      <c r="N92" s="42">
        <v>486704</v>
      </c>
      <c r="O92" s="39">
        <v>486704</v>
      </c>
      <c r="P92" s="47">
        <v>486704</v>
      </c>
      <c r="Q92" s="28" t="s">
        <v>424</v>
      </c>
      <c r="R92" s="29" t="s">
        <v>287</v>
      </c>
    </row>
    <row r="93" spans="1:18" x14ac:dyDescent="0.2">
      <c r="A93" s="36" t="s">
        <v>425</v>
      </c>
      <c r="B93" s="36" t="s">
        <v>30</v>
      </c>
      <c r="C93" s="36" t="s">
        <v>31</v>
      </c>
      <c r="D93" s="36" t="s">
        <v>426</v>
      </c>
      <c r="E93" s="36" t="s">
        <v>427</v>
      </c>
      <c r="F93" s="36" t="s">
        <v>55</v>
      </c>
      <c r="G93" s="36" t="s">
        <v>56</v>
      </c>
      <c r="H93" s="36" t="s">
        <v>36</v>
      </c>
      <c r="I93" s="52" t="s">
        <v>95</v>
      </c>
      <c r="J93" s="36" t="s">
        <v>422</v>
      </c>
      <c r="K93" s="36" t="s">
        <v>39</v>
      </c>
      <c r="L93" s="36" t="s">
        <v>5</v>
      </c>
      <c r="M93" s="37" t="s">
        <v>423</v>
      </c>
      <c r="N93" s="42">
        <v>1692430.9</v>
      </c>
      <c r="O93" s="39">
        <v>1692430.9</v>
      </c>
      <c r="P93" s="47">
        <v>1692430.9</v>
      </c>
      <c r="Q93" s="28" t="s">
        <v>428</v>
      </c>
      <c r="R93" s="29" t="s">
        <v>287</v>
      </c>
    </row>
    <row r="94" spans="1:18" x14ac:dyDescent="0.2">
      <c r="A94" s="36" t="s">
        <v>429</v>
      </c>
      <c r="B94" s="36" t="s">
        <v>30</v>
      </c>
      <c r="C94" s="36" t="s">
        <v>31</v>
      </c>
      <c r="D94" s="36" t="s">
        <v>430</v>
      </c>
      <c r="E94" s="36" t="s">
        <v>431</v>
      </c>
      <c r="F94" s="36" t="s">
        <v>55</v>
      </c>
      <c r="G94" s="36" t="s">
        <v>56</v>
      </c>
      <c r="H94" s="36" t="s">
        <v>36</v>
      </c>
      <c r="I94" s="52" t="s">
        <v>95</v>
      </c>
      <c r="J94" s="36" t="s">
        <v>422</v>
      </c>
      <c r="K94" s="36" t="s">
        <v>134</v>
      </c>
      <c r="L94" s="36" t="s">
        <v>5</v>
      </c>
      <c r="M94" s="37" t="s">
        <v>423</v>
      </c>
      <c r="N94" s="42">
        <v>1285890</v>
      </c>
      <c r="O94" s="39">
        <v>1285890</v>
      </c>
      <c r="P94" s="47">
        <v>1285890</v>
      </c>
      <c r="Q94" s="28" t="s">
        <v>432</v>
      </c>
      <c r="R94" s="29" t="s">
        <v>287</v>
      </c>
    </row>
    <row r="95" spans="1:18" x14ac:dyDescent="0.2">
      <c r="A95" s="36" t="s">
        <v>433</v>
      </c>
      <c r="B95" s="36" t="s">
        <v>30</v>
      </c>
      <c r="C95" s="36" t="s">
        <v>31</v>
      </c>
      <c r="D95" s="36" t="s">
        <v>434</v>
      </c>
      <c r="E95" s="36" t="s">
        <v>435</v>
      </c>
      <c r="F95" s="36" t="s">
        <v>232</v>
      </c>
      <c r="G95" s="36" t="s">
        <v>133</v>
      </c>
      <c r="H95" s="36" t="s">
        <v>36</v>
      </c>
      <c r="I95" s="52" t="s">
        <v>95</v>
      </c>
      <c r="J95" s="36" t="s">
        <v>422</v>
      </c>
      <c r="K95" s="36" t="s">
        <v>134</v>
      </c>
      <c r="L95" s="36" t="s">
        <v>5</v>
      </c>
      <c r="M95" s="37" t="s">
        <v>423</v>
      </c>
      <c r="N95" s="42">
        <v>767765</v>
      </c>
      <c r="O95" s="39">
        <v>767765</v>
      </c>
      <c r="P95" s="47">
        <v>767765</v>
      </c>
      <c r="Q95" s="28" t="s">
        <v>436</v>
      </c>
      <c r="R95" s="29" t="s">
        <v>287</v>
      </c>
    </row>
    <row r="96" spans="1:18" x14ac:dyDescent="0.2">
      <c r="A96" s="36" t="s">
        <v>437</v>
      </c>
      <c r="B96" s="36" t="s">
        <v>30</v>
      </c>
      <c r="C96" s="36" t="s">
        <v>31</v>
      </c>
      <c r="D96" s="36" t="s">
        <v>438</v>
      </c>
      <c r="E96" s="36" t="s">
        <v>439</v>
      </c>
      <c r="F96" s="36" t="s">
        <v>55</v>
      </c>
      <c r="G96" s="36" t="s">
        <v>56</v>
      </c>
      <c r="H96" s="36" t="s">
        <v>36</v>
      </c>
      <c r="I96" s="52" t="s">
        <v>95</v>
      </c>
      <c r="J96" s="36" t="s">
        <v>422</v>
      </c>
      <c r="K96" s="36" t="s">
        <v>134</v>
      </c>
      <c r="L96" s="36" t="s">
        <v>5</v>
      </c>
      <c r="M96" s="37" t="s">
        <v>423</v>
      </c>
      <c r="N96" s="42">
        <v>2202473</v>
      </c>
      <c r="O96" s="39">
        <v>2202473</v>
      </c>
      <c r="P96" s="47">
        <v>2202473</v>
      </c>
      <c r="Q96" s="28" t="s">
        <v>440</v>
      </c>
      <c r="R96" s="29" t="s">
        <v>287</v>
      </c>
    </row>
    <row r="97" spans="1:18" x14ac:dyDescent="0.2">
      <c r="A97" s="36" t="s">
        <v>441</v>
      </c>
      <c r="B97" s="36" t="s">
        <v>30</v>
      </c>
      <c r="C97" s="36" t="s">
        <v>31</v>
      </c>
      <c r="D97" s="36" t="s">
        <v>442</v>
      </c>
      <c r="E97" s="36" t="s">
        <v>443</v>
      </c>
      <c r="F97" s="36" t="s">
        <v>132</v>
      </c>
      <c r="G97" s="36" t="s">
        <v>133</v>
      </c>
      <c r="H97" s="36" t="s">
        <v>36</v>
      </c>
      <c r="I97" s="52" t="s">
        <v>95</v>
      </c>
      <c r="J97" s="36" t="s">
        <v>422</v>
      </c>
      <c r="K97" s="36" t="s">
        <v>134</v>
      </c>
      <c r="L97" s="36" t="s">
        <v>5</v>
      </c>
      <c r="M97" s="37" t="s">
        <v>423</v>
      </c>
      <c r="N97" s="42">
        <v>2488222.7599999998</v>
      </c>
      <c r="O97" s="39">
        <v>2488222.7599999998</v>
      </c>
      <c r="P97" s="47">
        <v>2488222.7599999998</v>
      </c>
      <c r="Q97" s="28" t="s">
        <v>444</v>
      </c>
      <c r="R97" s="29" t="s">
        <v>287</v>
      </c>
    </row>
    <row r="98" spans="1:18" x14ac:dyDescent="0.2">
      <c r="A98" s="36" t="s">
        <v>445</v>
      </c>
      <c r="B98" s="36" t="s">
        <v>30</v>
      </c>
      <c r="C98" s="36" t="s">
        <v>31</v>
      </c>
      <c r="D98" s="36" t="s">
        <v>446</v>
      </c>
      <c r="E98" s="36" t="s">
        <v>447</v>
      </c>
      <c r="F98" s="36" t="s">
        <v>55</v>
      </c>
      <c r="G98" s="36" t="s">
        <v>56</v>
      </c>
      <c r="H98" s="36" t="s">
        <v>36</v>
      </c>
      <c r="I98" s="52" t="s">
        <v>95</v>
      </c>
      <c r="J98" s="36" t="s">
        <v>422</v>
      </c>
      <c r="K98" s="36" t="s">
        <v>134</v>
      </c>
      <c r="L98" s="36" t="s">
        <v>5</v>
      </c>
      <c r="M98" s="37" t="s">
        <v>423</v>
      </c>
      <c r="N98" s="42">
        <v>1680130</v>
      </c>
      <c r="O98" s="39">
        <v>1680130</v>
      </c>
      <c r="P98" s="47">
        <v>1680130</v>
      </c>
      <c r="Q98" s="28" t="s">
        <v>448</v>
      </c>
      <c r="R98" s="29" t="s">
        <v>287</v>
      </c>
    </row>
    <row r="99" spans="1:18" x14ac:dyDescent="0.2">
      <c r="A99" s="36" t="s">
        <v>449</v>
      </c>
      <c r="B99" s="36" t="s">
        <v>30</v>
      </c>
      <c r="C99" s="36" t="s">
        <v>31</v>
      </c>
      <c r="D99" s="36" t="s">
        <v>450</v>
      </c>
      <c r="E99" s="36" t="s">
        <v>109</v>
      </c>
      <c r="F99" s="36" t="s">
        <v>55</v>
      </c>
      <c r="G99" s="36" t="s">
        <v>56</v>
      </c>
      <c r="H99" s="36" t="s">
        <v>36</v>
      </c>
      <c r="I99" s="52" t="s">
        <v>95</v>
      </c>
      <c r="J99" s="36" t="s">
        <v>422</v>
      </c>
      <c r="K99" s="36" t="s">
        <v>134</v>
      </c>
      <c r="L99" s="36" t="s">
        <v>5</v>
      </c>
      <c r="M99" s="37" t="s">
        <v>423</v>
      </c>
      <c r="N99" s="42">
        <v>2285048.7000000002</v>
      </c>
      <c r="O99" s="39">
        <v>2285048.7000000002</v>
      </c>
      <c r="P99" s="47">
        <v>2285048.7000000002</v>
      </c>
      <c r="Q99" s="28" t="s">
        <v>451</v>
      </c>
      <c r="R99" s="29" t="s">
        <v>287</v>
      </c>
    </row>
    <row r="100" spans="1:18" x14ac:dyDescent="0.2">
      <c r="A100" s="36" t="s">
        <v>452</v>
      </c>
      <c r="B100" s="36" t="s">
        <v>30</v>
      </c>
      <c r="C100" s="36" t="s">
        <v>31</v>
      </c>
      <c r="D100" s="36" t="s">
        <v>453</v>
      </c>
      <c r="E100" s="36" t="s">
        <v>454</v>
      </c>
      <c r="F100" s="36" t="s">
        <v>455</v>
      </c>
      <c r="G100" s="36" t="s">
        <v>133</v>
      </c>
      <c r="H100" s="36" t="s">
        <v>36</v>
      </c>
      <c r="I100" s="52" t="s">
        <v>95</v>
      </c>
      <c r="J100" s="36" t="s">
        <v>422</v>
      </c>
      <c r="K100" s="36" t="s">
        <v>134</v>
      </c>
      <c r="L100" s="36" t="s">
        <v>5</v>
      </c>
      <c r="M100" s="37" t="s">
        <v>423</v>
      </c>
      <c r="N100" s="42">
        <v>2559193.77</v>
      </c>
      <c r="O100" s="39">
        <v>2559193.77</v>
      </c>
      <c r="P100" s="47">
        <v>2559193.77</v>
      </c>
      <c r="Q100" s="28" t="s">
        <v>456</v>
      </c>
      <c r="R100" s="29" t="s">
        <v>287</v>
      </c>
    </row>
    <row r="101" spans="1:18" x14ac:dyDescent="0.2">
      <c r="A101" s="36" t="s">
        <v>457</v>
      </c>
      <c r="B101" s="36" t="s">
        <v>30</v>
      </c>
      <c r="C101" s="36" t="s">
        <v>31</v>
      </c>
      <c r="D101" s="36" t="s">
        <v>458</v>
      </c>
      <c r="E101" s="36" t="s">
        <v>459</v>
      </c>
      <c r="F101" s="36" t="s">
        <v>460</v>
      </c>
      <c r="G101" s="36" t="s">
        <v>133</v>
      </c>
      <c r="H101" s="36" t="s">
        <v>36</v>
      </c>
      <c r="I101" s="52" t="s">
        <v>95</v>
      </c>
      <c r="J101" s="36" t="s">
        <v>422</v>
      </c>
      <c r="K101" s="36" t="s">
        <v>134</v>
      </c>
      <c r="L101" s="36" t="s">
        <v>7</v>
      </c>
      <c r="M101" s="37" t="s">
        <v>423</v>
      </c>
      <c r="N101" s="42">
        <v>2545611.52</v>
      </c>
      <c r="O101" s="39">
        <v>2545611.52</v>
      </c>
      <c r="P101" s="47">
        <v>2545611.52</v>
      </c>
      <c r="Q101" s="28" t="s">
        <v>461</v>
      </c>
      <c r="R101" s="29" t="s">
        <v>287</v>
      </c>
    </row>
    <row r="102" spans="1:18" x14ac:dyDescent="0.2">
      <c r="A102" s="36" t="s">
        <v>462</v>
      </c>
      <c r="B102" s="36" t="s">
        <v>30</v>
      </c>
      <c r="C102" s="36" t="s">
        <v>31</v>
      </c>
      <c r="D102" s="36" t="s">
        <v>463</v>
      </c>
      <c r="E102" s="36" t="s">
        <v>464</v>
      </c>
      <c r="F102" s="36" t="s">
        <v>307</v>
      </c>
      <c r="G102" s="36" t="s">
        <v>133</v>
      </c>
      <c r="H102" s="36" t="s">
        <v>36</v>
      </c>
      <c r="I102" s="52" t="s">
        <v>95</v>
      </c>
      <c r="J102" s="36" t="s">
        <v>422</v>
      </c>
      <c r="K102" s="36" t="s">
        <v>134</v>
      </c>
      <c r="L102" s="36" t="s">
        <v>7</v>
      </c>
      <c r="M102" s="37" t="s">
        <v>423</v>
      </c>
      <c r="N102" s="42">
        <v>2552499.09</v>
      </c>
      <c r="O102" s="39">
        <v>2552499.09</v>
      </c>
      <c r="P102" s="47">
        <v>2552499.09</v>
      </c>
      <c r="Q102" s="28" t="s">
        <v>465</v>
      </c>
      <c r="R102" s="29" t="s">
        <v>287</v>
      </c>
    </row>
    <row r="103" spans="1:18" x14ac:dyDescent="0.2">
      <c r="A103" s="36" t="s">
        <v>466</v>
      </c>
      <c r="B103" s="36" t="s">
        <v>30</v>
      </c>
      <c r="C103" s="36" t="s">
        <v>31</v>
      </c>
      <c r="D103" s="36" t="s">
        <v>467</v>
      </c>
      <c r="E103" s="36" t="s">
        <v>468</v>
      </c>
      <c r="F103" s="36" t="s">
        <v>307</v>
      </c>
      <c r="G103" s="36" t="s">
        <v>133</v>
      </c>
      <c r="H103" s="36" t="s">
        <v>36</v>
      </c>
      <c r="I103" s="52" t="s">
        <v>95</v>
      </c>
      <c r="J103" s="36" t="s">
        <v>262</v>
      </c>
      <c r="K103" s="36" t="s">
        <v>134</v>
      </c>
      <c r="L103" s="36" t="s">
        <v>5</v>
      </c>
      <c r="M103" s="37" t="s">
        <v>368</v>
      </c>
      <c r="N103" s="42">
        <v>1066364.5900000001</v>
      </c>
      <c r="O103" s="39">
        <v>1066364.5900000001</v>
      </c>
      <c r="P103" s="47">
        <v>1066364.5900000001</v>
      </c>
      <c r="Q103" s="28" t="s">
        <v>469</v>
      </c>
      <c r="R103" s="29" t="s">
        <v>287</v>
      </c>
    </row>
    <row r="104" spans="1:18" hidden="1" x14ac:dyDescent="0.2">
      <c r="A104" s="36" t="s">
        <v>470</v>
      </c>
      <c r="B104" s="36" t="s">
        <v>30</v>
      </c>
      <c r="C104" s="36" t="s">
        <v>31</v>
      </c>
      <c r="D104" s="36" t="s">
        <v>471</v>
      </c>
      <c r="E104" s="36" t="s">
        <v>472</v>
      </c>
      <c r="F104" s="36" t="s">
        <v>46</v>
      </c>
      <c r="G104" s="36" t="s">
        <v>35</v>
      </c>
      <c r="H104" s="36" t="s">
        <v>36</v>
      </c>
      <c r="I104" s="52" t="s">
        <v>101</v>
      </c>
      <c r="J104" s="36" t="s">
        <v>262</v>
      </c>
      <c r="K104" s="36" t="s">
        <v>134</v>
      </c>
      <c r="L104" s="36" t="s">
        <v>9</v>
      </c>
      <c r="M104" s="37" t="s">
        <v>368</v>
      </c>
      <c r="N104" s="39">
        <v>6685.81</v>
      </c>
      <c r="O104" s="39">
        <v>6685.81</v>
      </c>
      <c r="P104" s="47">
        <v>6685.81</v>
      </c>
      <c r="Q104" s="28" t="s">
        <v>473</v>
      </c>
      <c r="R104" s="29" t="s">
        <v>287</v>
      </c>
    </row>
    <row r="105" spans="1:18" x14ac:dyDescent="0.2">
      <c r="A105" s="36" t="s">
        <v>474</v>
      </c>
      <c r="B105" s="36" t="s">
        <v>30</v>
      </c>
      <c r="C105" s="36" t="s">
        <v>31</v>
      </c>
      <c r="D105" s="36" t="s">
        <v>475</v>
      </c>
      <c r="E105" s="36" t="s">
        <v>476</v>
      </c>
      <c r="F105" s="36" t="s">
        <v>46</v>
      </c>
      <c r="G105" s="36" t="s">
        <v>35</v>
      </c>
      <c r="H105" s="36" t="s">
        <v>36</v>
      </c>
      <c r="I105" s="52" t="s">
        <v>95</v>
      </c>
      <c r="J105" s="36" t="s">
        <v>262</v>
      </c>
      <c r="K105" s="36" t="s">
        <v>134</v>
      </c>
      <c r="L105" s="36" t="s">
        <v>5</v>
      </c>
      <c r="M105" s="37" t="s">
        <v>368</v>
      </c>
      <c r="N105" s="42">
        <v>562312.35</v>
      </c>
      <c r="O105" s="39">
        <v>562312.35</v>
      </c>
      <c r="P105" s="47">
        <v>562312.35</v>
      </c>
      <c r="Q105" s="28" t="s">
        <v>477</v>
      </c>
      <c r="R105" s="29" t="s">
        <v>287</v>
      </c>
    </row>
    <row r="106" spans="1:18" x14ac:dyDescent="0.2">
      <c r="A106" s="36" t="s">
        <v>478</v>
      </c>
      <c r="B106" s="36" t="s">
        <v>30</v>
      </c>
      <c r="C106" s="36" t="s">
        <v>31</v>
      </c>
      <c r="D106" s="36" t="s">
        <v>479</v>
      </c>
      <c r="E106" s="36" t="s">
        <v>480</v>
      </c>
      <c r="F106" s="36" t="s">
        <v>34</v>
      </c>
      <c r="G106" s="36" t="s">
        <v>35</v>
      </c>
      <c r="H106" s="36" t="s">
        <v>36</v>
      </c>
      <c r="I106" s="52" t="s">
        <v>95</v>
      </c>
      <c r="J106" s="36" t="s">
        <v>262</v>
      </c>
      <c r="K106" s="36" t="s">
        <v>134</v>
      </c>
      <c r="L106" s="36" t="s">
        <v>5</v>
      </c>
      <c r="M106" s="37" t="s">
        <v>368</v>
      </c>
      <c r="N106" s="42">
        <v>3500000</v>
      </c>
      <c r="O106" s="39">
        <v>3500000</v>
      </c>
      <c r="P106" s="47">
        <v>3500000</v>
      </c>
      <c r="Q106" s="28" t="s">
        <v>481</v>
      </c>
      <c r="R106" s="29" t="s">
        <v>287</v>
      </c>
    </row>
    <row r="107" spans="1:18" x14ac:dyDescent="0.2">
      <c r="A107" s="36" t="s">
        <v>482</v>
      </c>
      <c r="B107" s="36" t="s">
        <v>30</v>
      </c>
      <c r="C107" s="36" t="s">
        <v>31</v>
      </c>
      <c r="D107" s="36" t="s">
        <v>483</v>
      </c>
      <c r="E107" s="36" t="s">
        <v>278</v>
      </c>
      <c r="F107" s="36" t="s">
        <v>46</v>
      </c>
      <c r="G107" s="36" t="s">
        <v>35</v>
      </c>
      <c r="H107" s="36" t="s">
        <v>36</v>
      </c>
      <c r="I107" s="52" t="s">
        <v>95</v>
      </c>
      <c r="J107" s="36" t="s">
        <v>262</v>
      </c>
      <c r="K107" s="36" t="s">
        <v>134</v>
      </c>
      <c r="L107" s="36" t="s">
        <v>5</v>
      </c>
      <c r="M107" s="37" t="s">
        <v>368</v>
      </c>
      <c r="N107" s="42">
        <v>2597234.7400000002</v>
      </c>
      <c r="O107" s="39">
        <v>2597234.7400000002</v>
      </c>
      <c r="P107" s="47">
        <v>2597234.7400000002</v>
      </c>
      <c r="Q107" s="28" t="s">
        <v>484</v>
      </c>
      <c r="R107" s="29" t="s">
        <v>287</v>
      </c>
    </row>
    <row r="108" spans="1:18" x14ac:dyDescent="0.2">
      <c r="A108" s="36" t="s">
        <v>485</v>
      </c>
      <c r="B108" s="36" t="s">
        <v>30</v>
      </c>
      <c r="C108" s="36" t="s">
        <v>31</v>
      </c>
      <c r="D108" s="36" t="s">
        <v>486</v>
      </c>
      <c r="E108" s="36" t="s">
        <v>99</v>
      </c>
      <c r="F108" s="36" t="s">
        <v>100</v>
      </c>
      <c r="G108" s="36" t="s">
        <v>35</v>
      </c>
      <c r="H108" s="36" t="s">
        <v>36</v>
      </c>
      <c r="I108" s="52" t="s">
        <v>95</v>
      </c>
      <c r="J108" s="36" t="s">
        <v>262</v>
      </c>
      <c r="K108" s="36" t="s">
        <v>134</v>
      </c>
      <c r="L108" s="36" t="s">
        <v>5</v>
      </c>
      <c r="M108" s="37" t="s">
        <v>368</v>
      </c>
      <c r="N108" s="42">
        <v>307470.31</v>
      </c>
      <c r="O108" s="39">
        <v>307470.31</v>
      </c>
      <c r="P108" s="47">
        <v>307470.31</v>
      </c>
      <c r="Q108" s="28" t="s">
        <v>487</v>
      </c>
      <c r="R108" s="29" t="s">
        <v>287</v>
      </c>
    </row>
    <row r="109" spans="1:18" x14ac:dyDescent="0.2">
      <c r="A109" s="36" t="s">
        <v>488</v>
      </c>
      <c r="B109" s="36" t="s">
        <v>30</v>
      </c>
      <c r="C109" s="36" t="s">
        <v>31</v>
      </c>
      <c r="D109" s="36" t="s">
        <v>489</v>
      </c>
      <c r="E109" s="36" t="s">
        <v>490</v>
      </c>
      <c r="F109" s="36" t="s">
        <v>46</v>
      </c>
      <c r="G109" s="36" t="s">
        <v>35</v>
      </c>
      <c r="H109" s="36" t="s">
        <v>36</v>
      </c>
      <c r="I109" s="52" t="s">
        <v>95</v>
      </c>
      <c r="J109" s="36" t="s">
        <v>262</v>
      </c>
      <c r="K109" s="36" t="s">
        <v>491</v>
      </c>
      <c r="L109" s="36" t="s">
        <v>5</v>
      </c>
      <c r="M109" s="37" t="s">
        <v>492</v>
      </c>
      <c r="N109" s="39">
        <v>95580.39</v>
      </c>
      <c r="O109" s="39">
        <v>95580.39</v>
      </c>
      <c r="P109" s="47">
        <v>95580.39</v>
      </c>
      <c r="Q109" s="28" t="s">
        <v>493</v>
      </c>
      <c r="R109" s="29" t="s">
        <v>494</v>
      </c>
    </row>
    <row r="110" spans="1:18" x14ac:dyDescent="0.2">
      <c r="A110" s="36" t="s">
        <v>495</v>
      </c>
      <c r="B110" s="36" t="s">
        <v>30</v>
      </c>
      <c r="C110" s="36" t="s">
        <v>31</v>
      </c>
      <c r="D110" s="36" t="s">
        <v>496</v>
      </c>
      <c r="E110" s="36" t="s">
        <v>91</v>
      </c>
      <c r="F110" s="36" t="s">
        <v>55</v>
      </c>
      <c r="G110" s="36" t="s">
        <v>56</v>
      </c>
      <c r="H110" s="36" t="s">
        <v>36</v>
      </c>
      <c r="I110" s="52" t="s">
        <v>95</v>
      </c>
      <c r="J110" s="36" t="s">
        <v>262</v>
      </c>
      <c r="K110" s="36" t="s">
        <v>134</v>
      </c>
      <c r="L110" s="36" t="s">
        <v>6</v>
      </c>
      <c r="M110" s="37" t="s">
        <v>492</v>
      </c>
      <c r="N110" s="42">
        <v>21000026</v>
      </c>
      <c r="O110" s="39">
        <v>21000026</v>
      </c>
      <c r="P110" s="47">
        <v>21000026</v>
      </c>
      <c r="Q110" s="28" t="s">
        <v>497</v>
      </c>
      <c r="R110" s="29" t="s">
        <v>494</v>
      </c>
    </row>
    <row r="111" spans="1:18" x14ac:dyDescent="0.2">
      <c r="A111" s="36" t="s">
        <v>498</v>
      </c>
      <c r="B111" s="36" t="s">
        <v>30</v>
      </c>
      <c r="C111" s="36" t="s">
        <v>31</v>
      </c>
      <c r="D111" s="36" t="s">
        <v>499</v>
      </c>
      <c r="E111" s="36" t="s">
        <v>99</v>
      </c>
      <c r="F111" s="36" t="s">
        <v>100</v>
      </c>
      <c r="G111" s="36" t="s">
        <v>35</v>
      </c>
      <c r="H111" s="36" t="s">
        <v>36</v>
      </c>
      <c r="I111" s="52" t="s">
        <v>95</v>
      </c>
      <c r="J111" s="36" t="s">
        <v>262</v>
      </c>
      <c r="K111" s="36" t="s">
        <v>491</v>
      </c>
      <c r="L111" s="36" t="s">
        <v>5</v>
      </c>
      <c r="M111" s="37" t="s">
        <v>500</v>
      </c>
      <c r="N111" s="39">
        <v>1908694.7</v>
      </c>
      <c r="O111" s="39">
        <v>1908694.7</v>
      </c>
      <c r="P111" s="47">
        <v>1908694.7</v>
      </c>
      <c r="Q111" s="28" t="s">
        <v>501</v>
      </c>
      <c r="R111" s="29" t="s">
        <v>494</v>
      </c>
    </row>
    <row r="112" spans="1:18" x14ac:dyDescent="0.2">
      <c r="A112" s="36" t="s">
        <v>502</v>
      </c>
      <c r="B112" s="36" t="s">
        <v>30</v>
      </c>
      <c r="C112" s="36" t="s">
        <v>31</v>
      </c>
      <c r="D112" s="36" t="s">
        <v>394</v>
      </c>
      <c r="E112" s="36" t="s">
        <v>503</v>
      </c>
      <c r="F112" s="36" t="s">
        <v>232</v>
      </c>
      <c r="G112" s="36" t="s">
        <v>133</v>
      </c>
      <c r="H112" s="36" t="s">
        <v>36</v>
      </c>
      <c r="I112" s="52" t="s">
        <v>95</v>
      </c>
      <c r="J112" s="36" t="s">
        <v>504</v>
      </c>
      <c r="K112" s="36" t="s">
        <v>134</v>
      </c>
      <c r="L112" s="36" t="s">
        <v>5</v>
      </c>
      <c r="M112" s="37" t="s">
        <v>374</v>
      </c>
      <c r="N112" s="41">
        <v>0</v>
      </c>
      <c r="O112" s="39">
        <v>349253.13</v>
      </c>
      <c r="P112" s="47">
        <v>349253.13</v>
      </c>
      <c r="Q112" s="28" t="s">
        <v>505</v>
      </c>
      <c r="R112" s="29" t="s">
        <v>287</v>
      </c>
    </row>
    <row r="113" spans="1:18" x14ac:dyDescent="0.2">
      <c r="A113" s="36" t="s">
        <v>506</v>
      </c>
      <c r="B113" s="36" t="s">
        <v>30</v>
      </c>
      <c r="C113" s="36" t="s">
        <v>31</v>
      </c>
      <c r="D113" s="36" t="s">
        <v>310</v>
      </c>
      <c r="E113" s="36" t="s">
        <v>54</v>
      </c>
      <c r="F113" s="36" t="s">
        <v>55</v>
      </c>
      <c r="G113" s="36" t="s">
        <v>56</v>
      </c>
      <c r="H113" s="36" t="s">
        <v>36</v>
      </c>
      <c r="I113" s="52" t="s">
        <v>47</v>
      </c>
      <c r="J113" s="43" t="s">
        <v>284</v>
      </c>
      <c r="K113" s="36" t="s">
        <v>134</v>
      </c>
      <c r="L113" s="36" t="s">
        <v>5</v>
      </c>
      <c r="M113" s="37" t="s">
        <v>285</v>
      </c>
      <c r="N113" s="41">
        <v>0</v>
      </c>
      <c r="O113" s="39">
        <v>295111</v>
      </c>
      <c r="P113" s="47">
        <v>295111</v>
      </c>
      <c r="Q113" s="28" t="s">
        <v>507</v>
      </c>
      <c r="R113" s="29" t="s">
        <v>287</v>
      </c>
    </row>
    <row r="114" spans="1:18" x14ac:dyDescent="0.2">
      <c r="A114" s="36" t="s">
        <v>508</v>
      </c>
      <c r="B114" s="36" t="s">
        <v>30</v>
      </c>
      <c r="C114" s="36" t="s">
        <v>31</v>
      </c>
      <c r="D114" s="36" t="s">
        <v>426</v>
      </c>
      <c r="E114" s="36" t="s">
        <v>45</v>
      </c>
      <c r="F114" s="36" t="s">
        <v>46</v>
      </c>
      <c r="G114" s="36" t="s">
        <v>35</v>
      </c>
      <c r="H114" s="36" t="s">
        <v>36</v>
      </c>
      <c r="I114" s="52" t="s">
        <v>95</v>
      </c>
      <c r="J114" s="36" t="s">
        <v>422</v>
      </c>
      <c r="K114" s="36" t="s">
        <v>39</v>
      </c>
      <c r="L114" s="36" t="s">
        <v>5</v>
      </c>
      <c r="M114" s="37" t="s">
        <v>423</v>
      </c>
      <c r="N114" s="42">
        <v>755915.2</v>
      </c>
      <c r="O114" s="39">
        <v>755915.2</v>
      </c>
      <c r="P114" s="47">
        <v>755915.2</v>
      </c>
      <c r="Q114" s="28" t="s">
        <v>509</v>
      </c>
      <c r="R114" s="29" t="s">
        <v>287</v>
      </c>
    </row>
    <row r="115" spans="1:18" x14ac:dyDescent="0.2">
      <c r="A115" s="36" t="s">
        <v>510</v>
      </c>
      <c r="B115" s="36" t="s">
        <v>30</v>
      </c>
      <c r="C115" s="36" t="s">
        <v>31</v>
      </c>
      <c r="D115" s="36" t="s">
        <v>511</v>
      </c>
      <c r="E115" s="36" t="s">
        <v>512</v>
      </c>
      <c r="F115" s="36" t="s">
        <v>55</v>
      </c>
      <c r="G115" s="36" t="s">
        <v>56</v>
      </c>
      <c r="H115" s="36" t="s">
        <v>36</v>
      </c>
      <c r="I115" s="52" t="s">
        <v>95</v>
      </c>
      <c r="J115" s="36" t="s">
        <v>422</v>
      </c>
      <c r="K115" s="36" t="s">
        <v>134</v>
      </c>
      <c r="L115" s="36" t="s">
        <v>5</v>
      </c>
      <c r="M115" s="37" t="s">
        <v>423</v>
      </c>
      <c r="N115" s="42">
        <v>1285746</v>
      </c>
      <c r="O115" s="39">
        <v>1285746</v>
      </c>
      <c r="P115" s="47">
        <v>1285746</v>
      </c>
      <c r="Q115" s="28" t="s">
        <v>513</v>
      </c>
      <c r="R115" s="29" t="s">
        <v>287</v>
      </c>
    </row>
    <row r="116" spans="1:18" x14ac:dyDescent="0.2">
      <c r="A116" s="36" t="s">
        <v>514</v>
      </c>
      <c r="B116" s="36" t="s">
        <v>30</v>
      </c>
      <c r="C116" s="36" t="s">
        <v>31</v>
      </c>
      <c r="D116" s="36" t="s">
        <v>515</v>
      </c>
      <c r="E116" s="36" t="s">
        <v>516</v>
      </c>
      <c r="F116" s="36" t="s">
        <v>455</v>
      </c>
      <c r="G116" s="36" t="s">
        <v>133</v>
      </c>
      <c r="H116" s="36" t="s">
        <v>36</v>
      </c>
      <c r="I116" s="52" t="s">
        <v>101</v>
      </c>
      <c r="J116" s="36" t="s">
        <v>262</v>
      </c>
      <c r="K116" s="36" t="s">
        <v>491</v>
      </c>
      <c r="L116" s="36" t="s">
        <v>7</v>
      </c>
      <c r="M116" s="37" t="s">
        <v>492</v>
      </c>
      <c r="N116" s="42">
        <v>194557</v>
      </c>
      <c r="O116" s="39">
        <v>194557</v>
      </c>
      <c r="P116" s="47">
        <v>194557</v>
      </c>
      <c r="Q116" s="28" t="s">
        <v>517</v>
      </c>
      <c r="R116" s="29" t="s">
        <v>494</v>
      </c>
    </row>
    <row r="117" spans="1:18" x14ac:dyDescent="0.2">
      <c r="A117" s="36" t="s">
        <v>518</v>
      </c>
      <c r="B117" s="36" t="s">
        <v>30</v>
      </c>
      <c r="C117" s="36" t="s">
        <v>31</v>
      </c>
      <c r="D117" s="36" t="s">
        <v>519</v>
      </c>
      <c r="E117" s="36" t="s">
        <v>520</v>
      </c>
      <c r="F117" s="36" t="s">
        <v>68</v>
      </c>
      <c r="G117" s="36" t="s">
        <v>35</v>
      </c>
      <c r="H117" s="36" t="s">
        <v>36</v>
      </c>
      <c r="I117" s="52" t="s">
        <v>95</v>
      </c>
      <c r="J117" s="36" t="s">
        <v>521</v>
      </c>
      <c r="K117" s="36" t="s">
        <v>39</v>
      </c>
      <c r="L117" s="36" t="s">
        <v>6</v>
      </c>
      <c r="M117" s="37">
        <v>45504</v>
      </c>
      <c r="N117" s="42">
        <v>2651067.2000000002</v>
      </c>
      <c r="O117" s="40">
        <v>2651067.2000000002</v>
      </c>
      <c r="P117" s="47">
        <v>2651067.2000000002</v>
      </c>
      <c r="Q117" s="28"/>
      <c r="R117" s="29" t="s">
        <v>494</v>
      </c>
    </row>
    <row r="118" spans="1:18" x14ac:dyDescent="0.2">
      <c r="A118" s="36" t="s">
        <v>522</v>
      </c>
      <c r="B118" s="36" t="s">
        <v>30</v>
      </c>
      <c r="C118" s="36" t="s">
        <v>31</v>
      </c>
      <c r="D118" s="36" t="s">
        <v>523</v>
      </c>
      <c r="E118" s="36" t="s">
        <v>408</v>
      </c>
      <c r="F118" s="36" t="s">
        <v>132</v>
      </c>
      <c r="G118" s="36" t="s">
        <v>133</v>
      </c>
      <c r="H118" s="36" t="s">
        <v>36</v>
      </c>
      <c r="I118" s="52" t="s">
        <v>95</v>
      </c>
      <c r="J118" s="36" t="s">
        <v>521</v>
      </c>
      <c r="K118" s="36" t="s">
        <v>39</v>
      </c>
      <c r="L118" s="36" t="s">
        <v>6</v>
      </c>
      <c r="M118" s="37">
        <v>45504</v>
      </c>
      <c r="N118" s="42">
        <v>2549696</v>
      </c>
      <c r="O118" s="40">
        <v>2549696</v>
      </c>
      <c r="P118" s="47">
        <v>2549696</v>
      </c>
      <c r="Q118" s="28"/>
      <c r="R118" s="29" t="s">
        <v>494</v>
      </c>
    </row>
    <row r="119" spans="1:18" x14ac:dyDescent="0.2">
      <c r="A119" s="36" t="s">
        <v>524</v>
      </c>
      <c r="B119" s="36" t="s">
        <v>30</v>
      </c>
      <c r="C119" s="36" t="s">
        <v>31</v>
      </c>
      <c r="D119" s="36" t="s">
        <v>525</v>
      </c>
      <c r="E119" s="36" t="s">
        <v>526</v>
      </c>
      <c r="F119" s="36" t="s">
        <v>68</v>
      </c>
      <c r="G119" s="36" t="s">
        <v>35</v>
      </c>
      <c r="H119" s="36" t="s">
        <v>36</v>
      </c>
      <c r="I119" s="52" t="s">
        <v>95</v>
      </c>
      <c r="J119" s="36" t="s">
        <v>521</v>
      </c>
      <c r="K119" s="36" t="s">
        <v>39</v>
      </c>
      <c r="L119" s="36" t="s">
        <v>6</v>
      </c>
      <c r="M119" s="37">
        <v>45505</v>
      </c>
      <c r="N119" s="42">
        <v>2614401.42</v>
      </c>
      <c r="O119" s="40">
        <v>2614401.42</v>
      </c>
      <c r="P119" s="47">
        <v>2614401.42</v>
      </c>
      <c r="Q119" s="28"/>
      <c r="R119" s="29" t="s">
        <v>494</v>
      </c>
    </row>
    <row r="120" spans="1:18" x14ac:dyDescent="0.2">
      <c r="A120" s="36" t="s">
        <v>527</v>
      </c>
      <c r="B120" s="36" t="s">
        <v>30</v>
      </c>
      <c r="C120" s="36" t="s">
        <v>31</v>
      </c>
      <c r="D120" s="36" t="s">
        <v>528</v>
      </c>
      <c r="E120" s="36" t="s">
        <v>529</v>
      </c>
      <c r="F120" s="36" t="s">
        <v>132</v>
      </c>
      <c r="G120" s="36" t="s">
        <v>133</v>
      </c>
      <c r="H120" s="36" t="s">
        <v>36</v>
      </c>
      <c r="I120" s="52" t="s">
        <v>95</v>
      </c>
      <c r="J120" s="36" t="s">
        <v>521</v>
      </c>
      <c r="K120" s="36" t="s">
        <v>39</v>
      </c>
      <c r="L120" s="36" t="s">
        <v>6</v>
      </c>
      <c r="M120" s="37">
        <v>45506</v>
      </c>
      <c r="N120" s="42">
        <v>2541258</v>
      </c>
      <c r="O120" s="40">
        <v>2541258</v>
      </c>
      <c r="P120" s="47">
        <v>2541258</v>
      </c>
      <c r="Q120" s="28"/>
      <c r="R120" s="29" t="s">
        <v>494</v>
      </c>
    </row>
    <row r="121" spans="1:18" x14ac:dyDescent="0.2">
      <c r="A121" s="36" t="s">
        <v>530</v>
      </c>
      <c r="B121" s="36" t="s">
        <v>30</v>
      </c>
      <c r="C121" s="36" t="s">
        <v>31</v>
      </c>
      <c r="D121" s="36" t="s">
        <v>531</v>
      </c>
      <c r="E121" s="36" t="s">
        <v>464</v>
      </c>
      <c r="F121" s="36" t="s">
        <v>307</v>
      </c>
      <c r="G121" s="36" t="s">
        <v>133</v>
      </c>
      <c r="H121" s="36" t="s">
        <v>36</v>
      </c>
      <c r="I121" s="52" t="s">
        <v>95</v>
      </c>
      <c r="J121" s="36" t="s">
        <v>521</v>
      </c>
      <c r="K121" s="36" t="s">
        <v>134</v>
      </c>
      <c r="L121" s="36" t="s">
        <v>6</v>
      </c>
      <c r="M121" s="37">
        <v>45507</v>
      </c>
      <c r="N121" s="42">
        <v>2069526</v>
      </c>
      <c r="O121" s="40">
        <v>2069526</v>
      </c>
      <c r="P121" s="47">
        <v>2069526</v>
      </c>
      <c r="Q121" s="28"/>
      <c r="R121" s="29" t="s">
        <v>494</v>
      </c>
    </row>
    <row r="122" spans="1:18" x14ac:dyDescent="0.2">
      <c r="A122" s="36" t="s">
        <v>532</v>
      </c>
      <c r="B122" s="36" t="s">
        <v>30</v>
      </c>
      <c r="C122" s="36" t="s">
        <v>31</v>
      </c>
      <c r="D122" s="36" t="s">
        <v>533</v>
      </c>
      <c r="E122" s="36" t="s">
        <v>534</v>
      </c>
      <c r="F122" s="36" t="s">
        <v>68</v>
      </c>
      <c r="G122" s="36" t="s">
        <v>35</v>
      </c>
      <c r="H122" s="36" t="s">
        <v>36</v>
      </c>
      <c r="I122" s="52" t="s">
        <v>95</v>
      </c>
      <c r="J122" s="36" t="s">
        <v>521</v>
      </c>
      <c r="K122" s="36" t="s">
        <v>39</v>
      </c>
      <c r="L122" s="36" t="s">
        <v>6</v>
      </c>
      <c r="M122" s="37">
        <v>45508</v>
      </c>
      <c r="N122" s="42">
        <v>2205511.41</v>
      </c>
      <c r="O122" s="40">
        <v>2205511.41</v>
      </c>
      <c r="P122" s="47">
        <v>2205511.41</v>
      </c>
      <c r="Q122" s="28"/>
      <c r="R122" s="29" t="s">
        <v>494</v>
      </c>
    </row>
    <row r="123" spans="1:18" x14ac:dyDescent="0.2">
      <c r="A123" s="36" t="s">
        <v>535</v>
      </c>
      <c r="B123" s="36" t="s">
        <v>30</v>
      </c>
      <c r="C123" s="36" t="s">
        <v>31</v>
      </c>
      <c r="D123" s="36" t="s">
        <v>536</v>
      </c>
      <c r="E123" s="36" t="s">
        <v>537</v>
      </c>
      <c r="F123" s="36" t="s">
        <v>538</v>
      </c>
      <c r="G123" s="36" t="s">
        <v>35</v>
      </c>
      <c r="H123" s="36" t="s">
        <v>36</v>
      </c>
      <c r="I123" s="52" t="s">
        <v>95</v>
      </c>
      <c r="J123" s="36" t="s">
        <v>521</v>
      </c>
      <c r="K123" s="36" t="s">
        <v>39</v>
      </c>
      <c r="L123" s="36" t="s">
        <v>6</v>
      </c>
      <c r="M123" s="37">
        <v>45509</v>
      </c>
      <c r="N123" s="42">
        <v>2535952.85</v>
      </c>
      <c r="O123" s="40">
        <v>2535952.85</v>
      </c>
      <c r="P123" s="47">
        <v>2535952.85</v>
      </c>
      <c r="Q123" s="28"/>
      <c r="R123" s="29" t="s">
        <v>494</v>
      </c>
    </row>
    <row r="124" spans="1:18" x14ac:dyDescent="0.2">
      <c r="A124" s="36" t="s">
        <v>539</v>
      </c>
      <c r="B124" s="36" t="s">
        <v>30</v>
      </c>
      <c r="C124" s="36" t="s">
        <v>31</v>
      </c>
      <c r="D124" s="36" t="s">
        <v>540</v>
      </c>
      <c r="E124" s="36" t="s">
        <v>541</v>
      </c>
      <c r="F124" s="36" t="s">
        <v>68</v>
      </c>
      <c r="G124" s="36" t="s">
        <v>35</v>
      </c>
      <c r="H124" s="36" t="s">
        <v>36</v>
      </c>
      <c r="I124" s="52" t="s">
        <v>95</v>
      </c>
      <c r="J124" s="36" t="s">
        <v>521</v>
      </c>
      <c r="K124" s="36" t="s">
        <v>39</v>
      </c>
      <c r="L124" s="36" t="s">
        <v>6</v>
      </c>
      <c r="M124" s="37">
        <v>45510</v>
      </c>
      <c r="N124" s="42">
        <v>2588699.81</v>
      </c>
      <c r="O124" s="40">
        <v>2588699.81</v>
      </c>
      <c r="P124" s="47">
        <v>2588699.81</v>
      </c>
      <c r="Q124" s="28"/>
      <c r="R124" s="29" t="s">
        <v>494</v>
      </c>
    </row>
    <row r="125" spans="1:18" x14ac:dyDescent="0.2">
      <c r="A125" s="36" t="s">
        <v>542</v>
      </c>
      <c r="B125" s="36" t="s">
        <v>30</v>
      </c>
      <c r="C125" s="36" t="s">
        <v>31</v>
      </c>
      <c r="D125" s="36" t="s">
        <v>543</v>
      </c>
      <c r="E125" s="36" t="s">
        <v>544</v>
      </c>
      <c r="F125" s="36" t="s">
        <v>545</v>
      </c>
      <c r="G125" s="36" t="s">
        <v>35</v>
      </c>
      <c r="H125" s="36" t="s">
        <v>36</v>
      </c>
      <c r="I125" s="52" t="s">
        <v>95</v>
      </c>
      <c r="J125" s="36" t="s">
        <v>521</v>
      </c>
      <c r="K125" s="36" t="s">
        <v>39</v>
      </c>
      <c r="L125" s="36" t="s">
        <v>6</v>
      </c>
      <c r="M125" s="37">
        <v>45511</v>
      </c>
      <c r="N125" s="42">
        <v>228508.82</v>
      </c>
      <c r="O125" s="40">
        <v>228508.82</v>
      </c>
      <c r="P125" s="47">
        <v>228508.82</v>
      </c>
      <c r="Q125" s="28"/>
      <c r="R125" s="29" t="s">
        <v>494</v>
      </c>
    </row>
    <row r="126" spans="1:18" x14ac:dyDescent="0.2">
      <c r="A126" s="36" t="s">
        <v>546</v>
      </c>
      <c r="B126" s="36" t="s">
        <v>30</v>
      </c>
      <c r="C126" s="36" t="s">
        <v>31</v>
      </c>
      <c r="D126" s="36" t="s">
        <v>547</v>
      </c>
      <c r="E126" s="36" t="s">
        <v>548</v>
      </c>
      <c r="F126" s="36" t="s">
        <v>538</v>
      </c>
      <c r="G126" s="36" t="s">
        <v>35</v>
      </c>
      <c r="H126" s="36" t="s">
        <v>36</v>
      </c>
      <c r="I126" s="52" t="s">
        <v>101</v>
      </c>
      <c r="J126" s="36" t="s">
        <v>262</v>
      </c>
      <c r="K126" s="36" t="s">
        <v>491</v>
      </c>
      <c r="L126" s="36" t="s">
        <v>6</v>
      </c>
      <c r="M126" s="37">
        <v>45565</v>
      </c>
      <c r="N126" s="42">
        <v>4796509.53</v>
      </c>
      <c r="O126" s="40">
        <v>4796509.53</v>
      </c>
      <c r="P126" s="47">
        <v>4796509.53</v>
      </c>
      <c r="Q126" s="28"/>
      <c r="R126" s="29" t="s">
        <v>494</v>
      </c>
    </row>
    <row r="127" spans="1:18" x14ac:dyDescent="0.2">
      <c r="A127" s="36" t="s">
        <v>549</v>
      </c>
      <c r="B127" s="36" t="s">
        <v>30</v>
      </c>
      <c r="C127" s="36" t="s">
        <v>31</v>
      </c>
      <c r="D127" s="36" t="s">
        <v>550</v>
      </c>
      <c r="E127" s="36" t="s">
        <v>551</v>
      </c>
      <c r="F127" s="36" t="s">
        <v>552</v>
      </c>
      <c r="G127" s="36" t="s">
        <v>35</v>
      </c>
      <c r="H127" s="36" t="s">
        <v>36</v>
      </c>
      <c r="I127" s="52" t="s">
        <v>101</v>
      </c>
      <c r="J127" s="36" t="s">
        <v>553</v>
      </c>
      <c r="K127" s="36" t="s">
        <v>39</v>
      </c>
      <c r="L127" s="36" t="s">
        <v>6</v>
      </c>
      <c r="M127" s="37">
        <v>45503</v>
      </c>
      <c r="N127" s="42">
        <v>9788711.0399999991</v>
      </c>
      <c r="O127" s="40">
        <v>9788711.0399999991</v>
      </c>
      <c r="P127" s="47">
        <v>9788711.0399999991</v>
      </c>
      <c r="Q127" s="28"/>
      <c r="R127" s="29" t="s">
        <v>494</v>
      </c>
    </row>
    <row r="128" spans="1:18" x14ac:dyDescent="0.2">
      <c r="A128" s="36" t="s">
        <v>554</v>
      </c>
      <c r="B128" s="36" t="s">
        <v>30</v>
      </c>
      <c r="C128" s="36" t="s">
        <v>31</v>
      </c>
      <c r="D128" s="36" t="s">
        <v>555</v>
      </c>
      <c r="E128" s="36" t="s">
        <v>447</v>
      </c>
      <c r="F128" s="36" t="s">
        <v>56</v>
      </c>
      <c r="G128" s="36" t="s">
        <v>56</v>
      </c>
      <c r="H128" s="36" t="s">
        <v>36</v>
      </c>
      <c r="I128" s="52" t="s">
        <v>101</v>
      </c>
      <c r="J128" s="36" t="s">
        <v>553</v>
      </c>
      <c r="K128" s="36" t="s">
        <v>39</v>
      </c>
      <c r="L128" s="36" t="s">
        <v>6</v>
      </c>
      <c r="M128" s="37">
        <v>45503</v>
      </c>
      <c r="N128" s="42">
        <v>4004274</v>
      </c>
      <c r="O128" s="40">
        <v>4004274</v>
      </c>
      <c r="P128" s="47">
        <v>4004274</v>
      </c>
      <c r="Q128" s="28"/>
      <c r="R128" s="29" t="s">
        <v>494</v>
      </c>
    </row>
    <row r="129" spans="1:18" x14ac:dyDescent="0.2">
      <c r="A129" s="36" t="s">
        <v>556</v>
      </c>
      <c r="B129" s="36" t="s">
        <v>30</v>
      </c>
      <c r="C129" s="36" t="s">
        <v>31</v>
      </c>
      <c r="D129" s="36" t="s">
        <v>557</v>
      </c>
      <c r="E129" s="36" t="s">
        <v>558</v>
      </c>
      <c r="F129" s="36" t="s">
        <v>559</v>
      </c>
      <c r="G129" s="36" t="s">
        <v>35</v>
      </c>
      <c r="H129" s="36" t="s">
        <v>36</v>
      </c>
      <c r="I129" s="52" t="s">
        <v>95</v>
      </c>
      <c r="J129" s="36" t="s">
        <v>262</v>
      </c>
      <c r="K129" s="36" t="s">
        <v>39</v>
      </c>
      <c r="L129" s="36" t="s">
        <v>6</v>
      </c>
      <c r="M129" s="37">
        <v>45565</v>
      </c>
      <c r="N129" s="42">
        <v>254932.77</v>
      </c>
      <c r="O129" s="40">
        <v>254932.77</v>
      </c>
      <c r="P129" s="47">
        <v>254932.77</v>
      </c>
      <c r="Q129" s="28"/>
      <c r="R129" s="29" t="s">
        <v>494</v>
      </c>
    </row>
    <row r="130" spans="1:18" x14ac:dyDescent="0.2">
      <c r="A130" s="36" t="s">
        <v>560</v>
      </c>
      <c r="B130" s="36" t="s">
        <v>30</v>
      </c>
      <c r="C130" s="36" t="s">
        <v>31</v>
      </c>
      <c r="D130" s="36" t="s">
        <v>561</v>
      </c>
      <c r="E130" s="36" t="s">
        <v>99</v>
      </c>
      <c r="F130" s="36" t="s">
        <v>100</v>
      </c>
      <c r="G130" s="36" t="s">
        <v>35</v>
      </c>
      <c r="H130" s="36" t="s">
        <v>36</v>
      </c>
      <c r="I130" s="52" t="s">
        <v>37</v>
      </c>
      <c r="J130" s="36" t="s">
        <v>262</v>
      </c>
      <c r="K130" s="36" t="s">
        <v>39</v>
      </c>
      <c r="L130" s="36" t="s">
        <v>6</v>
      </c>
      <c r="M130" s="37">
        <v>45565</v>
      </c>
      <c r="N130" s="42">
        <v>245951</v>
      </c>
      <c r="O130" s="40">
        <v>245951</v>
      </c>
      <c r="P130" s="47">
        <v>245951</v>
      </c>
      <c r="Q130" s="28"/>
      <c r="R130" s="29" t="s">
        <v>494</v>
      </c>
    </row>
    <row r="131" spans="1:18" x14ac:dyDescent="0.2">
      <c r="A131" s="36" t="s">
        <v>562</v>
      </c>
      <c r="B131" s="36" t="s">
        <v>30</v>
      </c>
      <c r="C131" s="36" t="s">
        <v>31</v>
      </c>
      <c r="D131" s="36" t="s">
        <v>563</v>
      </c>
      <c r="E131" s="36" t="s">
        <v>564</v>
      </c>
      <c r="F131" s="36" t="s">
        <v>100</v>
      </c>
      <c r="G131" s="36" t="s">
        <v>35</v>
      </c>
      <c r="H131" s="36" t="s">
        <v>36</v>
      </c>
      <c r="I131" s="36" t="s">
        <v>101</v>
      </c>
      <c r="J131" s="36" t="s">
        <v>262</v>
      </c>
      <c r="K131" s="36" t="s">
        <v>39</v>
      </c>
      <c r="L131" s="36" t="s">
        <v>6</v>
      </c>
      <c r="M131" s="37">
        <v>45565</v>
      </c>
      <c r="N131" s="42">
        <v>5200000</v>
      </c>
      <c r="O131" s="40">
        <v>4800000</v>
      </c>
      <c r="P131" s="47">
        <v>5200000</v>
      </c>
      <c r="Q131" s="28"/>
      <c r="R131" s="29" t="s">
        <v>494</v>
      </c>
    </row>
    <row r="132" spans="1:18" x14ac:dyDescent="0.2">
      <c r="A132" s="36" t="s">
        <v>565</v>
      </c>
      <c r="B132" s="36" t="s">
        <v>30</v>
      </c>
      <c r="C132" s="36" t="s">
        <v>31</v>
      </c>
      <c r="D132" s="36" t="s">
        <v>566</v>
      </c>
      <c r="E132" s="36" t="s">
        <v>567</v>
      </c>
      <c r="F132" s="36" t="s">
        <v>55</v>
      </c>
      <c r="G132" s="36" t="s">
        <v>56</v>
      </c>
      <c r="H132" s="36" t="s">
        <v>36</v>
      </c>
      <c r="I132" s="36" t="s">
        <v>101</v>
      </c>
      <c r="J132" s="36" t="s">
        <v>262</v>
      </c>
      <c r="K132" s="36" t="s">
        <v>134</v>
      </c>
      <c r="L132" s="36" t="s">
        <v>6</v>
      </c>
      <c r="M132" s="37">
        <v>45572</v>
      </c>
      <c r="N132" s="42">
        <v>505100</v>
      </c>
      <c r="O132" s="40">
        <v>505100</v>
      </c>
      <c r="P132" s="47">
        <v>505100</v>
      </c>
      <c r="Q132" s="28"/>
      <c r="R132" s="29" t="s">
        <v>494</v>
      </c>
    </row>
    <row r="133" spans="1:18" x14ac:dyDescent="0.2">
      <c r="A133" s="36" t="s">
        <v>568</v>
      </c>
      <c r="B133" s="36" t="s">
        <v>30</v>
      </c>
      <c r="C133" s="36" t="s">
        <v>31</v>
      </c>
      <c r="D133" s="36" t="s">
        <v>569</v>
      </c>
      <c r="E133" s="36" t="s">
        <v>99</v>
      </c>
      <c r="F133" s="36" t="s">
        <v>100</v>
      </c>
      <c r="G133" s="36" t="s">
        <v>35</v>
      </c>
      <c r="H133" s="36" t="s">
        <v>36</v>
      </c>
      <c r="I133" s="36" t="s">
        <v>37</v>
      </c>
      <c r="J133" s="36" t="s">
        <v>262</v>
      </c>
      <c r="K133" s="36" t="s">
        <v>491</v>
      </c>
      <c r="L133" s="36" t="s">
        <v>5</v>
      </c>
      <c r="M133" s="37">
        <v>45565</v>
      </c>
      <c r="N133" s="42">
        <v>98900</v>
      </c>
      <c r="O133" s="40">
        <v>98900</v>
      </c>
      <c r="P133" s="47">
        <v>98900</v>
      </c>
      <c r="Q133" s="28"/>
      <c r="R133" s="29" t="s">
        <v>494</v>
      </c>
    </row>
    <row r="134" spans="1:18" hidden="1" x14ac:dyDescent="0.2">
      <c r="A134" s="29" t="s">
        <v>570</v>
      </c>
      <c r="B134" s="31" t="s">
        <v>571</v>
      </c>
      <c r="C134" s="36" t="s">
        <v>31</v>
      </c>
      <c r="D134" s="92" t="s">
        <v>572</v>
      </c>
      <c r="E134" s="70" t="s">
        <v>61</v>
      </c>
      <c r="F134" s="29" t="s">
        <v>55</v>
      </c>
      <c r="G134" s="29" t="s">
        <v>56</v>
      </c>
      <c r="H134" s="29" t="s">
        <v>573</v>
      </c>
      <c r="I134" s="56" t="s">
        <v>95</v>
      </c>
      <c r="J134" s="29"/>
      <c r="K134" s="29"/>
      <c r="L134" s="29" t="s">
        <v>8</v>
      </c>
      <c r="M134" s="63">
        <v>37012</v>
      </c>
      <c r="N134" s="67">
        <v>4284</v>
      </c>
      <c r="O134" s="68">
        <v>4284</v>
      </c>
      <c r="P134" s="69">
        <v>4284</v>
      </c>
      <c r="Q134" s="29"/>
      <c r="R134" s="29"/>
    </row>
    <row r="135" spans="1:18" hidden="1" x14ac:dyDescent="0.2">
      <c r="A135" s="29" t="s">
        <v>574</v>
      </c>
      <c r="B135" s="31" t="s">
        <v>571</v>
      </c>
      <c r="C135" s="36" t="s">
        <v>31</v>
      </c>
      <c r="D135" s="92" t="s">
        <v>575</v>
      </c>
      <c r="E135" s="70" t="s">
        <v>548</v>
      </c>
      <c r="F135" s="29" t="s">
        <v>538</v>
      </c>
      <c r="G135" s="29" t="s">
        <v>35</v>
      </c>
      <c r="H135" s="29" t="s">
        <v>576</v>
      </c>
      <c r="I135" s="56" t="s">
        <v>101</v>
      </c>
      <c r="J135" s="31" t="s">
        <v>577</v>
      </c>
      <c r="K135" s="29"/>
      <c r="L135" s="29" t="s">
        <v>8</v>
      </c>
      <c r="M135" s="63">
        <v>36404</v>
      </c>
      <c r="N135" s="67">
        <v>167436</v>
      </c>
      <c r="O135" s="68">
        <v>167436</v>
      </c>
      <c r="P135" s="69">
        <v>167436</v>
      </c>
      <c r="Q135" s="28" t="s">
        <v>578</v>
      </c>
      <c r="R135" s="29"/>
    </row>
    <row r="136" spans="1:18" hidden="1" x14ac:dyDescent="0.2">
      <c r="A136" s="29" t="s">
        <v>579</v>
      </c>
      <c r="B136" s="31" t="s">
        <v>571</v>
      </c>
      <c r="C136" s="36" t="s">
        <v>31</v>
      </c>
      <c r="D136" s="92" t="s">
        <v>580</v>
      </c>
      <c r="E136" s="70" t="s">
        <v>61</v>
      </c>
      <c r="F136" s="29" t="s">
        <v>55</v>
      </c>
      <c r="G136" s="29" t="s">
        <v>56</v>
      </c>
      <c r="H136" s="29" t="s">
        <v>581</v>
      </c>
      <c r="I136" s="56" t="s">
        <v>582</v>
      </c>
      <c r="J136" s="31" t="s">
        <v>583</v>
      </c>
      <c r="K136" s="29"/>
      <c r="L136" s="29" t="s">
        <v>8</v>
      </c>
      <c r="M136" s="63">
        <v>37834</v>
      </c>
      <c r="N136" s="67">
        <v>137210</v>
      </c>
      <c r="O136" s="68">
        <v>137210</v>
      </c>
      <c r="P136" s="69">
        <v>137210</v>
      </c>
      <c r="Q136" s="28" t="s">
        <v>584</v>
      </c>
      <c r="R136" s="29"/>
    </row>
    <row r="137" spans="1:18" hidden="1" x14ac:dyDescent="0.2">
      <c r="A137" s="29" t="s">
        <v>585</v>
      </c>
      <c r="B137" s="31" t="s">
        <v>571</v>
      </c>
      <c r="C137" s="36" t="s">
        <v>31</v>
      </c>
      <c r="D137" s="92" t="s">
        <v>586</v>
      </c>
      <c r="E137" s="70" t="s">
        <v>587</v>
      </c>
      <c r="F137" s="29" t="s">
        <v>55</v>
      </c>
      <c r="G137" s="29" t="s">
        <v>56</v>
      </c>
      <c r="H137" s="29" t="s">
        <v>581</v>
      </c>
      <c r="I137" s="56" t="s">
        <v>95</v>
      </c>
      <c r="J137" s="31" t="s">
        <v>583</v>
      </c>
      <c r="K137" s="29"/>
      <c r="L137" s="29" t="s">
        <v>8</v>
      </c>
      <c r="M137" s="63">
        <v>38047</v>
      </c>
      <c r="N137" s="67">
        <v>238221</v>
      </c>
      <c r="O137" s="68">
        <v>254721</v>
      </c>
      <c r="P137" s="69">
        <v>254721</v>
      </c>
      <c r="Q137" s="28" t="s">
        <v>588</v>
      </c>
      <c r="R137" s="29"/>
    </row>
    <row r="138" spans="1:18" hidden="1" x14ac:dyDescent="0.2">
      <c r="A138" s="29" t="s">
        <v>589</v>
      </c>
      <c r="B138" s="31" t="s">
        <v>571</v>
      </c>
      <c r="C138" s="36" t="s">
        <v>31</v>
      </c>
      <c r="D138" s="92" t="s">
        <v>590</v>
      </c>
      <c r="E138" s="70" t="s">
        <v>591</v>
      </c>
      <c r="F138" s="29" t="s">
        <v>55</v>
      </c>
      <c r="G138" s="29" t="s">
        <v>56</v>
      </c>
      <c r="H138" s="29" t="s">
        <v>581</v>
      </c>
      <c r="I138" s="56" t="s">
        <v>95</v>
      </c>
      <c r="J138" s="31" t="s">
        <v>592</v>
      </c>
      <c r="K138" s="29"/>
      <c r="L138" s="29" t="s">
        <v>8</v>
      </c>
      <c r="M138" s="63">
        <v>38718</v>
      </c>
      <c r="N138" s="67">
        <v>274957</v>
      </c>
      <c r="O138" s="68">
        <v>274957</v>
      </c>
      <c r="P138" s="69">
        <v>274957</v>
      </c>
      <c r="Q138" s="28" t="s">
        <v>593</v>
      </c>
      <c r="R138" s="29"/>
    </row>
    <row r="139" spans="1:18" hidden="1" x14ac:dyDescent="0.2">
      <c r="A139" s="29" t="s">
        <v>594</v>
      </c>
      <c r="B139" s="31" t="s">
        <v>571</v>
      </c>
      <c r="C139" s="36" t="s">
        <v>31</v>
      </c>
      <c r="D139" s="92" t="s">
        <v>595</v>
      </c>
      <c r="E139" s="70" t="s">
        <v>61</v>
      </c>
      <c r="F139" s="29" t="s">
        <v>55</v>
      </c>
      <c r="G139" s="29" t="s">
        <v>56</v>
      </c>
      <c r="H139" s="31" t="s">
        <v>581</v>
      </c>
      <c r="I139" s="56" t="s">
        <v>582</v>
      </c>
      <c r="J139" s="31" t="s">
        <v>596</v>
      </c>
      <c r="K139" s="29"/>
      <c r="L139" s="29" t="s">
        <v>8</v>
      </c>
      <c r="M139" s="63">
        <v>38504</v>
      </c>
      <c r="N139" s="67">
        <v>164101</v>
      </c>
      <c r="O139" s="68">
        <v>164101</v>
      </c>
      <c r="P139" s="69">
        <v>164101</v>
      </c>
      <c r="Q139" s="28" t="s">
        <v>597</v>
      </c>
      <c r="R139" s="29"/>
    </row>
    <row r="140" spans="1:18" hidden="1" x14ac:dyDescent="0.2">
      <c r="A140" s="29" t="s">
        <v>598</v>
      </c>
      <c r="B140" s="31" t="s">
        <v>571</v>
      </c>
      <c r="C140" s="36" t="s">
        <v>31</v>
      </c>
      <c r="D140" s="92" t="s">
        <v>599</v>
      </c>
      <c r="E140" s="70" t="s">
        <v>600</v>
      </c>
      <c r="F140" s="29" t="s">
        <v>307</v>
      </c>
      <c r="G140" s="29" t="s">
        <v>133</v>
      </c>
      <c r="H140" s="31" t="s">
        <v>581</v>
      </c>
      <c r="I140" s="56" t="s">
        <v>582</v>
      </c>
      <c r="J140" s="31" t="s">
        <v>601</v>
      </c>
      <c r="K140" s="29"/>
      <c r="L140" s="29" t="s">
        <v>8</v>
      </c>
      <c r="M140" s="63">
        <v>38626</v>
      </c>
      <c r="N140" s="67">
        <v>4323279</v>
      </c>
      <c r="O140" s="68">
        <v>14169781</v>
      </c>
      <c r="P140" s="69">
        <v>14169781</v>
      </c>
      <c r="Q140" s="28" t="s">
        <v>602</v>
      </c>
      <c r="R140" s="29"/>
    </row>
    <row r="141" spans="1:18" hidden="1" x14ac:dyDescent="0.2">
      <c r="A141" s="29" t="s">
        <v>603</v>
      </c>
      <c r="B141" s="31" t="s">
        <v>571</v>
      </c>
      <c r="C141" s="36" t="s">
        <v>31</v>
      </c>
      <c r="D141" s="92" t="s">
        <v>604</v>
      </c>
      <c r="E141" s="70" t="s">
        <v>591</v>
      </c>
      <c r="F141" s="29" t="s">
        <v>55</v>
      </c>
      <c r="G141" s="29" t="s">
        <v>56</v>
      </c>
      <c r="H141" s="31" t="s">
        <v>605</v>
      </c>
      <c r="I141" s="56" t="s">
        <v>582</v>
      </c>
      <c r="J141" s="31" t="s">
        <v>583</v>
      </c>
      <c r="K141" s="29"/>
      <c r="L141" s="29" t="s">
        <v>8</v>
      </c>
      <c r="M141" s="63">
        <v>40452</v>
      </c>
      <c r="N141" s="67">
        <v>522515</v>
      </c>
      <c r="O141" s="68">
        <v>522215</v>
      </c>
      <c r="P141" s="69">
        <v>522215</v>
      </c>
      <c r="Q141" s="28" t="s">
        <v>606</v>
      </c>
      <c r="R141" s="29"/>
    </row>
    <row r="142" spans="1:18" hidden="1" x14ac:dyDescent="0.2">
      <c r="A142" s="29" t="s">
        <v>607</v>
      </c>
      <c r="B142" s="31" t="s">
        <v>571</v>
      </c>
      <c r="C142" s="36" t="s">
        <v>31</v>
      </c>
      <c r="D142" s="92" t="s">
        <v>608</v>
      </c>
      <c r="E142" s="70" t="s">
        <v>61</v>
      </c>
      <c r="F142" s="29" t="s">
        <v>55</v>
      </c>
      <c r="G142" s="29" t="s">
        <v>56</v>
      </c>
      <c r="H142" s="29" t="s">
        <v>609</v>
      </c>
      <c r="I142" s="56" t="s">
        <v>582</v>
      </c>
      <c r="J142" s="31" t="s">
        <v>610</v>
      </c>
      <c r="K142" s="31" t="s">
        <v>611</v>
      </c>
      <c r="L142" s="29" t="s">
        <v>8</v>
      </c>
      <c r="M142" s="63">
        <v>39264</v>
      </c>
      <c r="N142" s="67">
        <v>3416292</v>
      </c>
      <c r="O142" s="68">
        <v>3416292</v>
      </c>
      <c r="P142" s="69">
        <v>3416292</v>
      </c>
      <c r="Q142" s="28" t="s">
        <v>612</v>
      </c>
      <c r="R142" s="29"/>
    </row>
    <row r="143" spans="1:18" hidden="1" x14ac:dyDescent="0.2">
      <c r="A143" s="29" t="s">
        <v>613</v>
      </c>
      <c r="B143" s="31" t="s">
        <v>571</v>
      </c>
      <c r="C143" s="36" t="s">
        <v>31</v>
      </c>
      <c r="D143" s="92" t="s">
        <v>614</v>
      </c>
      <c r="E143" s="70" t="s">
        <v>61</v>
      </c>
      <c r="F143" s="29" t="s">
        <v>55</v>
      </c>
      <c r="G143" s="29" t="s">
        <v>56</v>
      </c>
      <c r="H143" s="29" t="s">
        <v>573</v>
      </c>
      <c r="I143" s="56" t="s">
        <v>95</v>
      </c>
      <c r="J143" s="31" t="s">
        <v>615</v>
      </c>
      <c r="K143" s="31" t="s">
        <v>616</v>
      </c>
      <c r="L143" s="29" t="s">
        <v>8</v>
      </c>
      <c r="M143" s="63">
        <v>39052</v>
      </c>
      <c r="N143" s="67">
        <v>1148138</v>
      </c>
      <c r="O143" s="68">
        <v>1148138</v>
      </c>
      <c r="P143" s="69">
        <v>1148138</v>
      </c>
      <c r="Q143" s="28" t="s">
        <v>617</v>
      </c>
      <c r="R143" s="29"/>
    </row>
    <row r="144" spans="1:18" hidden="1" x14ac:dyDescent="0.2">
      <c r="A144" s="29" t="s">
        <v>618</v>
      </c>
      <c r="B144" s="31" t="s">
        <v>571</v>
      </c>
      <c r="C144" s="36" t="s">
        <v>31</v>
      </c>
      <c r="D144" s="92" t="s">
        <v>619</v>
      </c>
      <c r="E144" s="70" t="s">
        <v>591</v>
      </c>
      <c r="F144" s="29" t="s">
        <v>55</v>
      </c>
      <c r="G144" s="29" t="s">
        <v>56</v>
      </c>
      <c r="H144" s="29" t="s">
        <v>581</v>
      </c>
      <c r="I144" s="56" t="s">
        <v>582</v>
      </c>
      <c r="J144" s="31" t="s">
        <v>583</v>
      </c>
      <c r="K144" s="29"/>
      <c r="L144" s="29" t="s">
        <v>8</v>
      </c>
      <c r="M144" s="63">
        <v>39295</v>
      </c>
      <c r="N144" s="67">
        <v>822394</v>
      </c>
      <c r="O144" s="68">
        <v>848347</v>
      </c>
      <c r="P144" s="69">
        <v>848347</v>
      </c>
      <c r="Q144" s="28" t="s">
        <v>620</v>
      </c>
      <c r="R144" s="29"/>
    </row>
    <row r="145" spans="1:18" hidden="1" x14ac:dyDescent="0.2">
      <c r="A145" s="29" t="s">
        <v>621</v>
      </c>
      <c r="B145" s="31" t="s">
        <v>571</v>
      </c>
      <c r="C145" s="36" t="s">
        <v>31</v>
      </c>
      <c r="D145" s="92" t="s">
        <v>622</v>
      </c>
      <c r="E145" s="70" t="s">
        <v>600</v>
      </c>
      <c r="F145" s="29" t="s">
        <v>55</v>
      </c>
      <c r="G145" s="29" t="s">
        <v>56</v>
      </c>
      <c r="H145" s="29" t="s">
        <v>581</v>
      </c>
      <c r="I145" s="56" t="s">
        <v>582</v>
      </c>
      <c r="J145" s="31" t="s">
        <v>623</v>
      </c>
      <c r="K145" s="29"/>
      <c r="L145" s="29" t="s">
        <v>8</v>
      </c>
      <c r="M145" s="63">
        <v>41821</v>
      </c>
      <c r="N145" s="67">
        <v>3759745</v>
      </c>
      <c r="O145" s="68">
        <v>11400134</v>
      </c>
      <c r="P145" s="69">
        <v>11400134</v>
      </c>
      <c r="Q145" s="28" t="s">
        <v>624</v>
      </c>
      <c r="R145" s="29"/>
    </row>
    <row r="146" spans="1:18" hidden="1" x14ac:dyDescent="0.2">
      <c r="A146" s="29" t="s">
        <v>625</v>
      </c>
      <c r="B146" s="31" t="s">
        <v>571</v>
      </c>
      <c r="C146" s="36" t="s">
        <v>31</v>
      </c>
      <c r="D146" s="92" t="s">
        <v>626</v>
      </c>
      <c r="E146" s="70" t="s">
        <v>627</v>
      </c>
      <c r="F146" s="29" t="s">
        <v>55</v>
      </c>
      <c r="G146" s="29" t="s">
        <v>56</v>
      </c>
      <c r="H146" s="31" t="s">
        <v>581</v>
      </c>
      <c r="I146" s="56" t="s">
        <v>582</v>
      </c>
      <c r="J146" s="31" t="s">
        <v>592</v>
      </c>
      <c r="K146" s="29"/>
      <c r="L146" s="29" t="s">
        <v>8</v>
      </c>
      <c r="M146" s="63">
        <v>39814</v>
      </c>
      <c r="N146" s="67">
        <v>629157</v>
      </c>
      <c r="O146" s="68">
        <v>629157</v>
      </c>
      <c r="P146" s="69">
        <v>629157</v>
      </c>
      <c r="Q146" s="28" t="s">
        <v>628</v>
      </c>
      <c r="R146" s="29"/>
    </row>
    <row r="147" spans="1:18" hidden="1" x14ac:dyDescent="0.2">
      <c r="A147" s="29" t="s">
        <v>629</v>
      </c>
      <c r="B147" s="31" t="s">
        <v>571</v>
      </c>
      <c r="C147" s="36" t="s">
        <v>31</v>
      </c>
      <c r="D147" s="92" t="s">
        <v>630</v>
      </c>
      <c r="E147" s="70" t="s">
        <v>631</v>
      </c>
      <c r="F147" s="29" t="s">
        <v>632</v>
      </c>
      <c r="G147" s="29" t="s">
        <v>133</v>
      </c>
      <c r="H147" s="29" t="s">
        <v>581</v>
      </c>
      <c r="I147" s="56" t="s">
        <v>101</v>
      </c>
      <c r="J147" s="31" t="s">
        <v>633</v>
      </c>
      <c r="K147" s="29"/>
      <c r="L147" s="29" t="s">
        <v>8</v>
      </c>
      <c r="M147" s="63">
        <v>40026</v>
      </c>
      <c r="N147" s="67">
        <v>4814746</v>
      </c>
      <c r="O147" s="68">
        <v>6481157</v>
      </c>
      <c r="P147" s="69">
        <v>6481157</v>
      </c>
      <c r="Q147" s="28" t="s">
        <v>634</v>
      </c>
      <c r="R147" s="29"/>
    </row>
    <row r="148" spans="1:18" hidden="1" x14ac:dyDescent="0.2">
      <c r="A148" s="29" t="s">
        <v>635</v>
      </c>
      <c r="B148" s="31" t="s">
        <v>571</v>
      </c>
      <c r="C148" s="36" t="s">
        <v>31</v>
      </c>
      <c r="D148" s="92" t="s">
        <v>636</v>
      </c>
      <c r="E148" s="70" t="s">
        <v>637</v>
      </c>
      <c r="F148" s="29" t="s">
        <v>307</v>
      </c>
      <c r="G148" s="29" t="s">
        <v>133</v>
      </c>
      <c r="H148" s="29" t="s">
        <v>638</v>
      </c>
      <c r="I148" s="56" t="s">
        <v>101</v>
      </c>
      <c r="J148" s="31" t="s">
        <v>633</v>
      </c>
      <c r="K148" s="29"/>
      <c r="L148" s="29" t="s">
        <v>8</v>
      </c>
      <c r="M148" s="63">
        <v>40026</v>
      </c>
      <c r="N148" s="67">
        <v>3398400</v>
      </c>
      <c r="O148" s="68">
        <v>4020184</v>
      </c>
      <c r="P148" s="69">
        <v>4020184</v>
      </c>
      <c r="Q148" s="28" t="s">
        <v>639</v>
      </c>
      <c r="R148" s="29"/>
    </row>
    <row r="149" spans="1:18" hidden="1" x14ac:dyDescent="0.2">
      <c r="A149" s="29" t="s">
        <v>640</v>
      </c>
      <c r="B149" s="31" t="s">
        <v>571</v>
      </c>
      <c r="C149" s="36" t="s">
        <v>31</v>
      </c>
      <c r="D149" s="92" t="s">
        <v>641</v>
      </c>
      <c r="E149" s="70" t="s">
        <v>61</v>
      </c>
      <c r="F149" s="29" t="s">
        <v>55</v>
      </c>
      <c r="G149" s="29" t="s">
        <v>56</v>
      </c>
      <c r="H149" s="31" t="s">
        <v>605</v>
      </c>
      <c r="I149" s="56" t="s">
        <v>582</v>
      </c>
      <c r="J149" s="31" t="s">
        <v>601</v>
      </c>
      <c r="K149" s="29"/>
      <c r="L149" s="29" t="s">
        <v>8</v>
      </c>
      <c r="M149" s="63">
        <v>40452</v>
      </c>
      <c r="N149" s="67">
        <v>10696617</v>
      </c>
      <c r="O149" s="68">
        <v>20391456</v>
      </c>
      <c r="P149" s="69">
        <v>20391456</v>
      </c>
      <c r="Q149" s="28" t="s">
        <v>642</v>
      </c>
      <c r="R149" s="29"/>
    </row>
    <row r="150" spans="1:18" hidden="1" x14ac:dyDescent="0.2">
      <c r="A150" s="29" t="s">
        <v>643</v>
      </c>
      <c r="B150" s="31" t="s">
        <v>571</v>
      </c>
      <c r="C150" s="36" t="s">
        <v>31</v>
      </c>
      <c r="D150" s="92" t="s">
        <v>644</v>
      </c>
      <c r="E150" s="70" t="s">
        <v>61</v>
      </c>
      <c r="F150" s="29" t="s">
        <v>55</v>
      </c>
      <c r="G150" s="29" t="s">
        <v>56</v>
      </c>
      <c r="H150" s="31" t="s">
        <v>645</v>
      </c>
      <c r="I150" s="56" t="s">
        <v>582</v>
      </c>
      <c r="J150" s="31" t="s">
        <v>601</v>
      </c>
      <c r="K150" s="31" t="s">
        <v>646</v>
      </c>
      <c r="L150" s="29" t="s">
        <v>8</v>
      </c>
      <c r="M150" s="63">
        <v>40817</v>
      </c>
      <c r="N150" s="67">
        <v>32168256</v>
      </c>
      <c r="O150" s="68">
        <v>32495692</v>
      </c>
      <c r="P150" s="69">
        <v>32495692</v>
      </c>
      <c r="Q150" s="28" t="s">
        <v>647</v>
      </c>
      <c r="R150" s="29"/>
    </row>
    <row r="151" spans="1:18" hidden="1" x14ac:dyDescent="0.2">
      <c r="A151" s="29" t="s">
        <v>648</v>
      </c>
      <c r="B151" s="31" t="s">
        <v>571</v>
      </c>
      <c r="C151" s="36" t="s">
        <v>31</v>
      </c>
      <c r="D151" s="92" t="s">
        <v>649</v>
      </c>
      <c r="E151" s="70" t="s">
        <v>61</v>
      </c>
      <c r="F151" s="29" t="s">
        <v>55</v>
      </c>
      <c r="G151" s="29" t="s">
        <v>56</v>
      </c>
      <c r="H151" s="31" t="s">
        <v>581</v>
      </c>
      <c r="I151" s="56" t="s">
        <v>582</v>
      </c>
      <c r="J151" s="31" t="s">
        <v>650</v>
      </c>
      <c r="K151" s="29"/>
      <c r="L151" s="29" t="s">
        <v>8</v>
      </c>
      <c r="M151" s="63">
        <v>40909</v>
      </c>
      <c r="N151" s="67">
        <v>3504540</v>
      </c>
      <c r="O151" s="68">
        <v>5000000</v>
      </c>
      <c r="P151" s="69">
        <v>5000000</v>
      </c>
      <c r="Q151" s="28" t="s">
        <v>651</v>
      </c>
      <c r="R151" s="29"/>
    </row>
    <row r="152" spans="1:18" hidden="1" x14ac:dyDescent="0.2">
      <c r="A152" s="29" t="s">
        <v>652</v>
      </c>
      <c r="B152" s="31" t="s">
        <v>571</v>
      </c>
      <c r="C152" s="36" t="s">
        <v>31</v>
      </c>
      <c r="D152" s="92" t="s">
        <v>653</v>
      </c>
      <c r="E152" s="70" t="s">
        <v>61</v>
      </c>
      <c r="F152" s="31" t="s">
        <v>55</v>
      </c>
      <c r="G152" s="31" t="s">
        <v>56</v>
      </c>
      <c r="H152" s="31" t="s">
        <v>609</v>
      </c>
      <c r="I152" s="56" t="s">
        <v>582</v>
      </c>
      <c r="J152" s="31" t="s">
        <v>654</v>
      </c>
      <c r="K152" s="31" t="s">
        <v>611</v>
      </c>
      <c r="L152" s="31" t="s">
        <v>8</v>
      </c>
      <c r="M152" s="63">
        <v>40878</v>
      </c>
      <c r="N152" s="67">
        <v>1134454</v>
      </c>
      <c r="O152" s="68">
        <v>1234454</v>
      </c>
      <c r="P152" s="69">
        <v>1234454</v>
      </c>
      <c r="Q152" s="28" t="s">
        <v>655</v>
      </c>
      <c r="R152" s="29"/>
    </row>
    <row r="153" spans="1:18" hidden="1" x14ac:dyDescent="0.2">
      <c r="A153" s="29" t="s">
        <v>656</v>
      </c>
      <c r="B153" s="31" t="s">
        <v>571</v>
      </c>
      <c r="C153" s="36" t="s">
        <v>31</v>
      </c>
      <c r="D153" s="92" t="s">
        <v>657</v>
      </c>
      <c r="E153" s="70" t="s">
        <v>591</v>
      </c>
      <c r="F153" s="29" t="s">
        <v>55</v>
      </c>
      <c r="G153" s="29" t="s">
        <v>56</v>
      </c>
      <c r="H153" s="29" t="s">
        <v>573</v>
      </c>
      <c r="I153" s="56" t="s">
        <v>582</v>
      </c>
      <c r="J153" s="29"/>
      <c r="K153" s="29"/>
      <c r="L153" s="29" t="s">
        <v>8</v>
      </c>
      <c r="M153" s="63">
        <v>41122</v>
      </c>
      <c r="N153" s="67">
        <v>2155194</v>
      </c>
      <c r="O153" s="68">
        <v>2155194</v>
      </c>
      <c r="P153" s="69">
        <v>2155194</v>
      </c>
      <c r="Q153" s="28" t="s">
        <v>658</v>
      </c>
      <c r="R153" s="29"/>
    </row>
    <row r="154" spans="1:18" hidden="1" x14ac:dyDescent="0.2">
      <c r="A154" s="29" t="s">
        <v>659</v>
      </c>
      <c r="B154" s="31" t="s">
        <v>571</v>
      </c>
      <c r="C154" s="36" t="s">
        <v>31</v>
      </c>
      <c r="D154" s="92" t="s">
        <v>660</v>
      </c>
      <c r="E154" s="70" t="s">
        <v>661</v>
      </c>
      <c r="F154" s="29" t="s">
        <v>55</v>
      </c>
      <c r="G154" s="29" t="s">
        <v>56</v>
      </c>
      <c r="H154" s="29" t="s">
        <v>573</v>
      </c>
      <c r="I154" s="56" t="s">
        <v>582</v>
      </c>
      <c r="J154" s="31" t="s">
        <v>662</v>
      </c>
      <c r="K154" s="31" t="s">
        <v>663</v>
      </c>
      <c r="L154" s="29" t="s">
        <v>8</v>
      </c>
      <c r="M154" s="63">
        <v>41426</v>
      </c>
      <c r="N154" s="67">
        <v>272808</v>
      </c>
      <c r="O154" s="68">
        <v>272808</v>
      </c>
      <c r="P154" s="69">
        <v>272808</v>
      </c>
      <c r="Q154" s="28" t="s">
        <v>664</v>
      </c>
      <c r="R154" s="29"/>
    </row>
    <row r="155" spans="1:18" hidden="1" x14ac:dyDescent="0.2">
      <c r="A155" s="29" t="s">
        <v>665</v>
      </c>
      <c r="B155" s="31" t="s">
        <v>571</v>
      </c>
      <c r="C155" s="36" t="s">
        <v>31</v>
      </c>
      <c r="D155" s="92" t="s">
        <v>666</v>
      </c>
      <c r="E155" s="70" t="s">
        <v>78</v>
      </c>
      <c r="F155" s="29" t="s">
        <v>55</v>
      </c>
      <c r="G155" s="29" t="s">
        <v>56</v>
      </c>
      <c r="H155" s="31" t="s">
        <v>609</v>
      </c>
      <c r="I155" s="56" t="s">
        <v>582</v>
      </c>
      <c r="J155" s="31" t="s">
        <v>667</v>
      </c>
      <c r="K155" s="31" t="s">
        <v>611</v>
      </c>
      <c r="L155" s="29" t="s">
        <v>8</v>
      </c>
      <c r="M155" s="63">
        <v>41554</v>
      </c>
      <c r="N155" s="67">
        <v>767599</v>
      </c>
      <c r="O155" s="68">
        <v>767599</v>
      </c>
      <c r="P155" s="69">
        <v>767599</v>
      </c>
      <c r="Q155" s="28" t="s">
        <v>668</v>
      </c>
      <c r="R155" s="29"/>
    </row>
    <row r="156" spans="1:18" hidden="1" x14ac:dyDescent="0.2">
      <c r="A156" s="29" t="s">
        <v>669</v>
      </c>
      <c r="B156" s="31" t="s">
        <v>571</v>
      </c>
      <c r="C156" s="36" t="s">
        <v>31</v>
      </c>
      <c r="D156" s="92" t="s">
        <v>670</v>
      </c>
      <c r="E156" s="70" t="s">
        <v>220</v>
      </c>
      <c r="F156" s="29" t="s">
        <v>55</v>
      </c>
      <c r="G156" s="29" t="s">
        <v>56</v>
      </c>
      <c r="H156" s="29" t="s">
        <v>581</v>
      </c>
      <c r="I156" s="56" t="s">
        <v>101</v>
      </c>
      <c r="J156" s="31" t="s">
        <v>667</v>
      </c>
      <c r="K156" s="29"/>
      <c r="L156" s="29" t="s">
        <v>8</v>
      </c>
      <c r="M156" s="63">
        <v>41533</v>
      </c>
      <c r="N156" s="67">
        <v>769500</v>
      </c>
      <c r="O156" s="68">
        <v>769500</v>
      </c>
      <c r="P156" s="69">
        <v>769500</v>
      </c>
      <c r="Q156" s="28" t="s">
        <v>671</v>
      </c>
      <c r="R156" s="29"/>
    </row>
    <row r="157" spans="1:18" hidden="1" x14ac:dyDescent="0.2">
      <c r="A157" s="29" t="s">
        <v>672</v>
      </c>
      <c r="B157" s="31" t="s">
        <v>571</v>
      </c>
      <c r="C157" s="36" t="s">
        <v>31</v>
      </c>
      <c r="D157" s="92" t="s">
        <v>673</v>
      </c>
      <c r="E157" s="70" t="s">
        <v>674</v>
      </c>
      <c r="F157" s="29" t="s">
        <v>55</v>
      </c>
      <c r="G157" s="29" t="s">
        <v>56</v>
      </c>
      <c r="H157" s="29" t="s">
        <v>581</v>
      </c>
      <c r="I157" s="56" t="s">
        <v>582</v>
      </c>
      <c r="J157" s="31" t="s">
        <v>601</v>
      </c>
      <c r="K157" s="29"/>
      <c r="L157" s="29" t="s">
        <v>8</v>
      </c>
      <c r="M157" s="63">
        <v>41456</v>
      </c>
      <c r="N157" s="67">
        <v>13200000</v>
      </c>
      <c r="O157" s="68">
        <v>14766566</v>
      </c>
      <c r="P157" s="69">
        <v>14766566</v>
      </c>
      <c r="Q157" s="28" t="s">
        <v>675</v>
      </c>
      <c r="R157" s="29"/>
    </row>
    <row r="158" spans="1:18" hidden="1" x14ac:dyDescent="0.2">
      <c r="A158" s="29" t="s">
        <v>676</v>
      </c>
      <c r="B158" s="31" t="s">
        <v>571</v>
      </c>
      <c r="C158" s="36" t="s">
        <v>31</v>
      </c>
      <c r="D158" s="92" t="s">
        <v>677</v>
      </c>
      <c r="E158" s="70" t="s">
        <v>61</v>
      </c>
      <c r="F158" s="29" t="s">
        <v>55</v>
      </c>
      <c r="G158" s="29" t="s">
        <v>56</v>
      </c>
      <c r="H158" s="29" t="s">
        <v>609</v>
      </c>
      <c r="I158" s="56" t="s">
        <v>582</v>
      </c>
      <c r="J158" s="31" t="s">
        <v>678</v>
      </c>
      <c r="K158" s="31" t="s">
        <v>611</v>
      </c>
      <c r="L158" s="29" t="s">
        <v>8</v>
      </c>
      <c r="M158" s="63">
        <v>41821</v>
      </c>
      <c r="N158" s="67">
        <v>2078961</v>
      </c>
      <c r="O158" s="68">
        <v>2078961</v>
      </c>
      <c r="P158" s="69">
        <v>2078961</v>
      </c>
      <c r="Q158" s="28" t="s">
        <v>679</v>
      </c>
      <c r="R158" s="29"/>
    </row>
    <row r="159" spans="1:18" hidden="1" x14ac:dyDescent="0.2">
      <c r="A159" s="29" t="s">
        <v>680</v>
      </c>
      <c r="B159" s="31" t="s">
        <v>571</v>
      </c>
      <c r="C159" s="36" t="s">
        <v>31</v>
      </c>
      <c r="D159" s="92" t="s">
        <v>681</v>
      </c>
      <c r="E159" s="70" t="s">
        <v>591</v>
      </c>
      <c r="F159" s="29" t="s">
        <v>55</v>
      </c>
      <c r="G159" s="29" t="s">
        <v>56</v>
      </c>
      <c r="H159" s="29" t="s">
        <v>581</v>
      </c>
      <c r="I159" s="56" t="s">
        <v>37</v>
      </c>
      <c r="J159" s="31" t="s">
        <v>38</v>
      </c>
      <c r="K159" s="29"/>
      <c r="L159" s="29" t="s">
        <v>8</v>
      </c>
      <c r="M159" s="63">
        <v>41944</v>
      </c>
      <c r="N159" s="67">
        <v>233526</v>
      </c>
      <c r="O159" s="68">
        <v>425794</v>
      </c>
      <c r="P159" s="69">
        <v>425794</v>
      </c>
      <c r="Q159" s="28" t="s">
        <v>682</v>
      </c>
      <c r="R159" s="29"/>
    </row>
    <row r="160" spans="1:18" hidden="1" x14ac:dyDescent="0.2">
      <c r="A160" s="29" t="s">
        <v>683</v>
      </c>
      <c r="B160" s="31" t="s">
        <v>571</v>
      </c>
      <c r="C160" s="36" t="s">
        <v>31</v>
      </c>
      <c r="D160" s="92" t="s">
        <v>684</v>
      </c>
      <c r="E160" s="70" t="s">
        <v>685</v>
      </c>
      <c r="F160" s="29" t="s">
        <v>538</v>
      </c>
      <c r="G160" s="29" t="s">
        <v>35</v>
      </c>
      <c r="H160" s="29" t="s">
        <v>609</v>
      </c>
      <c r="I160" s="56" t="s">
        <v>37</v>
      </c>
      <c r="J160" s="31" t="s">
        <v>38</v>
      </c>
      <c r="K160" s="31" t="s">
        <v>686</v>
      </c>
      <c r="L160" s="29" t="s">
        <v>8</v>
      </c>
      <c r="M160" s="63">
        <v>42248</v>
      </c>
      <c r="N160" s="67">
        <v>406701</v>
      </c>
      <c r="O160" s="68">
        <v>408340</v>
      </c>
      <c r="P160" s="69">
        <v>408340</v>
      </c>
      <c r="Q160" s="28" t="s">
        <v>687</v>
      </c>
      <c r="R160" s="29"/>
    </row>
    <row r="161" spans="1:18" hidden="1" x14ac:dyDescent="0.2">
      <c r="A161" s="29" t="s">
        <v>688</v>
      </c>
      <c r="B161" s="31" t="s">
        <v>571</v>
      </c>
      <c r="C161" s="36" t="s">
        <v>31</v>
      </c>
      <c r="D161" s="93" t="s">
        <v>689</v>
      </c>
      <c r="E161" s="70" t="s">
        <v>690</v>
      </c>
      <c r="F161" s="29" t="s">
        <v>538</v>
      </c>
      <c r="G161" s="29" t="s">
        <v>35</v>
      </c>
      <c r="H161" s="29" t="s">
        <v>581</v>
      </c>
      <c r="I161" s="56" t="s">
        <v>95</v>
      </c>
      <c r="J161" s="31" t="s">
        <v>38</v>
      </c>
      <c r="K161" s="29"/>
      <c r="L161" s="29" t="s">
        <v>8</v>
      </c>
      <c r="M161" s="63">
        <v>42186</v>
      </c>
      <c r="N161" s="67">
        <v>403201</v>
      </c>
      <c r="O161" s="68">
        <v>403201</v>
      </c>
      <c r="P161" s="69">
        <v>403201</v>
      </c>
      <c r="Q161" s="28" t="s">
        <v>691</v>
      </c>
      <c r="R161" s="29"/>
    </row>
    <row r="162" spans="1:18" hidden="1" x14ac:dyDescent="0.2">
      <c r="A162" s="29" t="s">
        <v>692</v>
      </c>
      <c r="B162" s="31" t="s">
        <v>571</v>
      </c>
      <c r="C162" s="36" t="s">
        <v>31</v>
      </c>
      <c r="D162" s="92" t="s">
        <v>693</v>
      </c>
      <c r="E162" s="70" t="s">
        <v>694</v>
      </c>
      <c r="F162" s="29" t="s">
        <v>695</v>
      </c>
      <c r="G162" s="29" t="s">
        <v>133</v>
      </c>
      <c r="H162" s="29" t="s">
        <v>609</v>
      </c>
      <c r="I162" s="56" t="s">
        <v>95</v>
      </c>
      <c r="J162" s="31" t="s">
        <v>38</v>
      </c>
      <c r="K162" s="29"/>
      <c r="L162" s="29" t="s">
        <v>8</v>
      </c>
      <c r="M162" s="71">
        <v>42430</v>
      </c>
      <c r="N162" s="67">
        <v>360979</v>
      </c>
      <c r="O162" s="68">
        <v>360979</v>
      </c>
      <c r="P162" s="69">
        <v>360979</v>
      </c>
      <c r="Q162" s="28" t="s">
        <v>696</v>
      </c>
      <c r="R162" s="29"/>
    </row>
    <row r="163" spans="1:18" hidden="1" x14ac:dyDescent="0.2">
      <c r="A163" s="29" t="s">
        <v>697</v>
      </c>
      <c r="B163" s="31" t="s">
        <v>571</v>
      </c>
      <c r="C163" s="36" t="s">
        <v>31</v>
      </c>
      <c r="D163" s="92" t="s">
        <v>698</v>
      </c>
      <c r="E163" s="70" t="s">
        <v>591</v>
      </c>
      <c r="F163" s="29" t="s">
        <v>55</v>
      </c>
      <c r="G163" s="29" t="s">
        <v>56</v>
      </c>
      <c r="H163" s="29" t="s">
        <v>581</v>
      </c>
      <c r="I163" s="56" t="s">
        <v>95</v>
      </c>
      <c r="J163" s="31" t="s">
        <v>38</v>
      </c>
      <c r="K163" s="29"/>
      <c r="L163" s="29" t="s">
        <v>8</v>
      </c>
      <c r="M163" s="63">
        <v>42436</v>
      </c>
      <c r="N163" s="67">
        <v>415166</v>
      </c>
      <c r="O163" s="68">
        <v>415166</v>
      </c>
      <c r="P163" s="69">
        <v>415166</v>
      </c>
      <c r="Q163" s="28" t="s">
        <v>699</v>
      </c>
      <c r="R163" s="29"/>
    </row>
    <row r="164" spans="1:18" hidden="1" x14ac:dyDescent="0.2">
      <c r="A164" s="29" t="s">
        <v>700</v>
      </c>
      <c r="B164" s="31" t="s">
        <v>571</v>
      </c>
      <c r="C164" s="36" t="s">
        <v>31</v>
      </c>
      <c r="D164" s="92" t="s">
        <v>701</v>
      </c>
      <c r="E164" s="70" t="s">
        <v>631</v>
      </c>
      <c r="F164" s="29" t="s">
        <v>307</v>
      </c>
      <c r="G164" s="29" t="s">
        <v>133</v>
      </c>
      <c r="H164" s="29" t="s">
        <v>581</v>
      </c>
      <c r="I164" s="56" t="s">
        <v>101</v>
      </c>
      <c r="J164" s="31" t="s">
        <v>702</v>
      </c>
      <c r="K164" s="29"/>
      <c r="L164" s="29" t="s">
        <v>8</v>
      </c>
      <c r="M164" s="63">
        <v>42430</v>
      </c>
      <c r="N164" s="67">
        <v>4764147</v>
      </c>
      <c r="O164" s="68">
        <v>5583368</v>
      </c>
      <c r="P164" s="69">
        <v>5583368</v>
      </c>
      <c r="Q164" s="28" t="s">
        <v>703</v>
      </c>
      <c r="R164" s="29"/>
    </row>
    <row r="165" spans="1:18" ht="16" hidden="1" x14ac:dyDescent="0.2">
      <c r="A165" s="29" t="s">
        <v>704</v>
      </c>
      <c r="B165" s="31" t="s">
        <v>571</v>
      </c>
      <c r="C165" s="36" t="s">
        <v>31</v>
      </c>
      <c r="D165" s="94" t="s">
        <v>705</v>
      </c>
      <c r="E165" s="70" t="s">
        <v>600</v>
      </c>
      <c r="F165" s="29" t="s">
        <v>307</v>
      </c>
      <c r="G165" s="29" t="s">
        <v>133</v>
      </c>
      <c r="H165" s="29" t="s">
        <v>581</v>
      </c>
      <c r="I165" s="56" t="s">
        <v>101</v>
      </c>
      <c r="J165" s="31" t="s">
        <v>706</v>
      </c>
      <c r="K165" s="29"/>
      <c r="L165" s="29" t="s">
        <v>8</v>
      </c>
      <c r="M165" s="63">
        <v>42370</v>
      </c>
      <c r="N165" s="67">
        <v>10497423</v>
      </c>
      <c r="O165" s="68">
        <v>10497423</v>
      </c>
      <c r="P165" s="69">
        <v>10497423</v>
      </c>
      <c r="Q165" s="28" t="s">
        <v>707</v>
      </c>
      <c r="R165" s="29"/>
    </row>
    <row r="166" spans="1:18" hidden="1" x14ac:dyDescent="0.2">
      <c r="A166" s="29" t="s">
        <v>708</v>
      </c>
      <c r="B166" s="31" t="s">
        <v>30</v>
      </c>
      <c r="C166" s="36" t="s">
        <v>31</v>
      </c>
      <c r="D166" s="92" t="s">
        <v>709</v>
      </c>
      <c r="E166" s="29" t="s">
        <v>91</v>
      </c>
      <c r="F166" s="29" t="s">
        <v>55</v>
      </c>
      <c r="G166" s="29" t="s">
        <v>56</v>
      </c>
      <c r="H166" s="29" t="s">
        <v>36</v>
      </c>
      <c r="I166" s="56" t="s">
        <v>95</v>
      </c>
      <c r="J166" s="31" t="s">
        <v>85</v>
      </c>
      <c r="K166" s="29"/>
      <c r="L166" s="29" t="s">
        <v>8</v>
      </c>
      <c r="M166" s="71">
        <v>42339</v>
      </c>
      <c r="N166" s="67">
        <v>499186</v>
      </c>
      <c r="O166" s="68">
        <v>499186</v>
      </c>
      <c r="P166" s="69">
        <v>499186</v>
      </c>
      <c r="Q166" s="28" t="s">
        <v>710</v>
      </c>
      <c r="R166" s="29"/>
    </row>
    <row r="167" spans="1:18" hidden="1" x14ac:dyDescent="0.2">
      <c r="A167" s="29" t="s">
        <v>711</v>
      </c>
      <c r="B167" s="31" t="s">
        <v>571</v>
      </c>
      <c r="C167" s="36" t="s">
        <v>31</v>
      </c>
      <c r="D167" s="92" t="s">
        <v>712</v>
      </c>
      <c r="E167" s="70" t="s">
        <v>713</v>
      </c>
      <c r="F167" s="29" t="s">
        <v>55</v>
      </c>
      <c r="G167" s="29" t="s">
        <v>56</v>
      </c>
      <c r="H167" s="31" t="s">
        <v>573</v>
      </c>
      <c r="I167" s="56" t="s">
        <v>582</v>
      </c>
      <c r="J167" s="31" t="s">
        <v>714</v>
      </c>
      <c r="K167" s="29"/>
      <c r="L167" s="29" t="s">
        <v>8</v>
      </c>
      <c r="M167" s="63">
        <v>42644</v>
      </c>
      <c r="N167" s="67">
        <v>660064</v>
      </c>
      <c r="O167" s="68">
        <v>660064</v>
      </c>
      <c r="P167" s="69">
        <v>660064</v>
      </c>
      <c r="Q167" s="28" t="s">
        <v>715</v>
      </c>
      <c r="R167" s="29"/>
    </row>
    <row r="168" spans="1:18" hidden="1" x14ac:dyDescent="0.2">
      <c r="A168" s="29" t="s">
        <v>716</v>
      </c>
      <c r="B168" s="31" t="s">
        <v>571</v>
      </c>
      <c r="C168" s="36" t="s">
        <v>31</v>
      </c>
      <c r="D168" s="92" t="s">
        <v>717</v>
      </c>
      <c r="E168" s="70" t="s">
        <v>61</v>
      </c>
      <c r="F168" s="29" t="s">
        <v>55</v>
      </c>
      <c r="G168" s="29" t="s">
        <v>56</v>
      </c>
      <c r="H168" s="29" t="s">
        <v>645</v>
      </c>
      <c r="I168" s="56" t="s">
        <v>582</v>
      </c>
      <c r="J168" s="31" t="s">
        <v>718</v>
      </c>
      <c r="K168" s="31" t="s">
        <v>646</v>
      </c>
      <c r="L168" s="29" t="s">
        <v>8</v>
      </c>
      <c r="M168" s="63">
        <v>42644</v>
      </c>
      <c r="N168" s="67">
        <v>26595244</v>
      </c>
      <c r="O168" s="68">
        <v>45500000</v>
      </c>
      <c r="P168" s="69">
        <v>45500000</v>
      </c>
      <c r="Q168" s="28" t="s">
        <v>719</v>
      </c>
      <c r="R168" s="29"/>
    </row>
    <row r="169" spans="1:18" hidden="1" x14ac:dyDescent="0.2">
      <c r="A169" s="29" t="s">
        <v>43</v>
      </c>
      <c r="B169" s="31" t="s">
        <v>571</v>
      </c>
      <c r="C169" s="36" t="s">
        <v>31</v>
      </c>
      <c r="D169" s="92" t="s">
        <v>720</v>
      </c>
      <c r="E169" s="70" t="s">
        <v>45</v>
      </c>
      <c r="F169" s="29" t="s">
        <v>538</v>
      </c>
      <c r="G169" s="29" t="s">
        <v>35</v>
      </c>
      <c r="H169" s="29" t="s">
        <v>36</v>
      </c>
      <c r="I169" s="56" t="s">
        <v>47</v>
      </c>
      <c r="J169" s="31" t="s">
        <v>48</v>
      </c>
      <c r="K169" s="29" t="s">
        <v>39</v>
      </c>
      <c r="L169" s="29" t="s">
        <v>8</v>
      </c>
      <c r="M169" s="71">
        <v>42826</v>
      </c>
      <c r="N169" s="67">
        <v>9385397</v>
      </c>
      <c r="O169" s="68">
        <v>9385397</v>
      </c>
      <c r="P169" s="69">
        <v>9385397</v>
      </c>
      <c r="Q169" s="28" t="s">
        <v>50</v>
      </c>
      <c r="R169" s="29"/>
    </row>
    <row r="170" spans="1:18" hidden="1" x14ac:dyDescent="0.2">
      <c r="A170" s="29" t="s">
        <v>721</v>
      </c>
      <c r="B170" s="31" t="s">
        <v>30</v>
      </c>
      <c r="C170" s="36" t="s">
        <v>31</v>
      </c>
      <c r="D170" s="92" t="s">
        <v>722</v>
      </c>
      <c r="E170" s="70" t="s">
        <v>91</v>
      </c>
      <c r="F170" s="29" t="s">
        <v>55</v>
      </c>
      <c r="G170" s="29" t="s">
        <v>56</v>
      </c>
      <c r="H170" s="29" t="s">
        <v>36</v>
      </c>
      <c r="I170" s="56" t="s">
        <v>47</v>
      </c>
      <c r="J170" s="31" t="s">
        <v>48</v>
      </c>
      <c r="K170" s="29"/>
      <c r="L170" s="29" t="s">
        <v>8</v>
      </c>
      <c r="M170" s="71">
        <v>42712</v>
      </c>
      <c r="N170" s="67">
        <v>149988</v>
      </c>
      <c r="O170" s="68">
        <v>149988</v>
      </c>
      <c r="P170" s="69">
        <v>149988</v>
      </c>
      <c r="Q170" s="28" t="s">
        <v>723</v>
      </c>
      <c r="R170" s="29"/>
    </row>
    <row r="171" spans="1:18" hidden="1" x14ac:dyDescent="0.2">
      <c r="A171" s="29" t="s">
        <v>74</v>
      </c>
      <c r="B171" s="31" t="s">
        <v>571</v>
      </c>
      <c r="C171" s="36" t="s">
        <v>31</v>
      </c>
      <c r="D171" s="92" t="s">
        <v>66</v>
      </c>
      <c r="E171" s="70" t="s">
        <v>67</v>
      </c>
      <c r="F171" s="29" t="s">
        <v>68</v>
      </c>
      <c r="G171" s="29" t="s">
        <v>35</v>
      </c>
      <c r="H171" s="29" t="s">
        <v>581</v>
      </c>
      <c r="I171" s="56" t="s">
        <v>47</v>
      </c>
      <c r="J171" s="29"/>
      <c r="K171" s="29" t="s">
        <v>39</v>
      </c>
      <c r="L171" s="29" t="s">
        <v>8</v>
      </c>
      <c r="M171" s="63">
        <v>42927</v>
      </c>
      <c r="N171" s="67">
        <v>8472026</v>
      </c>
      <c r="O171" s="68">
        <v>9080259</v>
      </c>
      <c r="P171" s="69">
        <v>9080259</v>
      </c>
      <c r="Q171" s="28" t="s">
        <v>75</v>
      </c>
      <c r="R171" s="29"/>
    </row>
    <row r="172" spans="1:18" hidden="1" x14ac:dyDescent="0.2">
      <c r="A172" s="29" t="s">
        <v>724</v>
      </c>
      <c r="B172" s="31" t="s">
        <v>571</v>
      </c>
      <c r="C172" s="36" t="s">
        <v>31</v>
      </c>
      <c r="D172" s="92" t="s">
        <v>725</v>
      </c>
      <c r="E172" s="70" t="s">
        <v>591</v>
      </c>
      <c r="F172" s="29" t="s">
        <v>55</v>
      </c>
      <c r="G172" s="29" t="s">
        <v>56</v>
      </c>
      <c r="H172" s="29" t="s">
        <v>573</v>
      </c>
      <c r="I172" s="56" t="s">
        <v>101</v>
      </c>
      <c r="J172" s="31" t="s">
        <v>615</v>
      </c>
      <c r="K172" s="31" t="s">
        <v>616</v>
      </c>
      <c r="L172" s="29" t="s">
        <v>8</v>
      </c>
      <c r="M172" s="63">
        <v>43344</v>
      </c>
      <c r="N172" s="67">
        <v>1614694</v>
      </c>
      <c r="O172" s="68">
        <v>1614694</v>
      </c>
      <c r="P172" s="69">
        <v>1614694</v>
      </c>
      <c r="Q172" s="28" t="s">
        <v>726</v>
      </c>
      <c r="R172" s="29"/>
    </row>
    <row r="173" spans="1:18" hidden="1" x14ac:dyDescent="0.2">
      <c r="A173" s="29" t="s">
        <v>727</v>
      </c>
      <c r="B173" s="31" t="s">
        <v>30</v>
      </c>
      <c r="C173" s="36" t="s">
        <v>31</v>
      </c>
      <c r="D173" s="92" t="s">
        <v>728</v>
      </c>
      <c r="E173" s="70" t="s">
        <v>591</v>
      </c>
      <c r="F173" s="29" t="s">
        <v>55</v>
      </c>
      <c r="G173" s="29" t="s">
        <v>56</v>
      </c>
      <c r="H173" s="29" t="s">
        <v>36</v>
      </c>
      <c r="I173" s="56" t="s">
        <v>37</v>
      </c>
      <c r="J173" s="31" t="s">
        <v>729</v>
      </c>
      <c r="K173" s="29"/>
      <c r="L173" s="29" t="s">
        <v>8</v>
      </c>
      <c r="M173" s="63">
        <v>43136</v>
      </c>
      <c r="N173" s="67">
        <v>99853</v>
      </c>
      <c r="O173" s="68">
        <v>99853</v>
      </c>
      <c r="P173" s="69">
        <v>99853</v>
      </c>
      <c r="Q173" s="28" t="s">
        <v>730</v>
      </c>
      <c r="R173" s="29"/>
    </row>
    <row r="174" spans="1:18" hidden="1" x14ac:dyDescent="0.2">
      <c r="A174" s="29" t="s">
        <v>731</v>
      </c>
      <c r="B174" s="31" t="s">
        <v>571</v>
      </c>
      <c r="C174" s="36" t="s">
        <v>31</v>
      </c>
      <c r="D174" s="92" t="s">
        <v>732</v>
      </c>
      <c r="E174" s="70" t="s">
        <v>78</v>
      </c>
      <c r="F174" s="29" t="s">
        <v>55</v>
      </c>
      <c r="G174" s="29" t="s">
        <v>56</v>
      </c>
      <c r="H174" s="29" t="s">
        <v>573</v>
      </c>
      <c r="I174" s="56" t="s">
        <v>47</v>
      </c>
      <c r="J174" s="31" t="s">
        <v>733</v>
      </c>
      <c r="K174" s="31" t="s">
        <v>663</v>
      </c>
      <c r="L174" s="29" t="s">
        <v>8</v>
      </c>
      <c r="M174" s="63">
        <v>43709</v>
      </c>
      <c r="N174" s="67">
        <v>1174581</v>
      </c>
      <c r="O174" s="68">
        <v>1174581</v>
      </c>
      <c r="P174" s="69">
        <v>1174581</v>
      </c>
      <c r="Q174" s="28" t="s">
        <v>734</v>
      </c>
      <c r="R174" s="29"/>
    </row>
    <row r="175" spans="1:18" hidden="1" x14ac:dyDescent="0.2">
      <c r="A175" s="29" t="s">
        <v>735</v>
      </c>
      <c r="B175" s="31" t="s">
        <v>571</v>
      </c>
      <c r="C175" s="36" t="s">
        <v>31</v>
      </c>
      <c r="D175" s="92" t="s">
        <v>736</v>
      </c>
      <c r="E175" s="70" t="s">
        <v>591</v>
      </c>
      <c r="F175" s="29" t="s">
        <v>55</v>
      </c>
      <c r="G175" s="29" t="s">
        <v>56</v>
      </c>
      <c r="H175" s="29" t="s">
        <v>36</v>
      </c>
      <c r="I175" s="56" t="s">
        <v>101</v>
      </c>
      <c r="J175" s="31" t="s">
        <v>85</v>
      </c>
      <c r="K175" s="29"/>
      <c r="L175" s="29" t="s">
        <v>8</v>
      </c>
      <c r="M175" s="63">
        <v>43514</v>
      </c>
      <c r="N175" s="67">
        <v>99632</v>
      </c>
      <c r="O175" s="68">
        <v>99632</v>
      </c>
      <c r="P175" s="69">
        <v>99632</v>
      </c>
      <c r="Q175" s="28" t="s">
        <v>737</v>
      </c>
      <c r="R175" s="29"/>
    </row>
    <row r="176" spans="1:18" hidden="1" x14ac:dyDescent="0.2">
      <c r="A176" s="29" t="s">
        <v>107</v>
      </c>
      <c r="B176" s="31" t="s">
        <v>30</v>
      </c>
      <c r="C176" s="36" t="s">
        <v>31</v>
      </c>
      <c r="D176" s="92" t="s">
        <v>108</v>
      </c>
      <c r="E176" s="70" t="s">
        <v>109</v>
      </c>
      <c r="F176" s="29" t="s">
        <v>55</v>
      </c>
      <c r="G176" s="29" t="s">
        <v>56</v>
      </c>
      <c r="H176" s="29" t="s">
        <v>36</v>
      </c>
      <c r="I176" s="56" t="s">
        <v>47</v>
      </c>
      <c r="J176" s="31" t="s">
        <v>110</v>
      </c>
      <c r="K176" s="29" t="s">
        <v>57</v>
      </c>
      <c r="L176" s="29" t="s">
        <v>8</v>
      </c>
      <c r="M176" s="71">
        <v>43739</v>
      </c>
      <c r="N176" s="67">
        <v>499529</v>
      </c>
      <c r="O176" s="68">
        <v>499529</v>
      </c>
      <c r="P176" s="69">
        <v>499529</v>
      </c>
      <c r="Q176" s="28" t="s">
        <v>112</v>
      </c>
      <c r="R176" s="29"/>
    </row>
    <row r="177" spans="1:18" hidden="1" x14ac:dyDescent="0.2">
      <c r="A177" s="29" t="s">
        <v>738</v>
      </c>
      <c r="B177" s="31" t="s">
        <v>30</v>
      </c>
      <c r="C177" s="36" t="s">
        <v>31</v>
      </c>
      <c r="D177" s="92" t="s">
        <v>126</v>
      </c>
      <c r="E177" s="70" t="s">
        <v>127</v>
      </c>
      <c r="F177" s="29" t="s">
        <v>538</v>
      </c>
      <c r="G177" s="29" t="s">
        <v>35</v>
      </c>
      <c r="H177" s="29" t="s">
        <v>36</v>
      </c>
      <c r="I177" s="56" t="s">
        <v>47</v>
      </c>
      <c r="J177" s="31" t="s">
        <v>110</v>
      </c>
      <c r="K177" s="29" t="s">
        <v>57</v>
      </c>
      <c r="L177" s="29" t="s">
        <v>8</v>
      </c>
      <c r="M177" s="71">
        <v>45017</v>
      </c>
      <c r="N177" s="67">
        <v>483105</v>
      </c>
      <c r="O177" s="68">
        <v>483015</v>
      </c>
      <c r="P177" s="69">
        <v>483015</v>
      </c>
      <c r="Q177" s="28" t="s">
        <v>128</v>
      </c>
      <c r="R177" s="29"/>
    </row>
    <row r="178" spans="1:18" hidden="1" x14ac:dyDescent="0.2">
      <c r="A178" s="29" t="s">
        <v>739</v>
      </c>
      <c r="B178" s="31" t="s">
        <v>30</v>
      </c>
      <c r="C178" s="36" t="s">
        <v>31</v>
      </c>
      <c r="D178" s="92" t="s">
        <v>740</v>
      </c>
      <c r="E178" s="70" t="s">
        <v>741</v>
      </c>
      <c r="F178" s="29" t="s">
        <v>55</v>
      </c>
      <c r="G178" s="29" t="s">
        <v>56</v>
      </c>
      <c r="H178" s="29" t="s">
        <v>36</v>
      </c>
      <c r="I178" s="56" t="s">
        <v>95</v>
      </c>
      <c r="J178" s="31" t="s">
        <v>48</v>
      </c>
      <c r="K178" s="29" t="s">
        <v>663</v>
      </c>
      <c r="L178" s="29" t="s">
        <v>8</v>
      </c>
      <c r="M178" s="63">
        <v>43922</v>
      </c>
      <c r="N178" s="67">
        <v>300000</v>
      </c>
      <c r="O178" s="68">
        <v>300000</v>
      </c>
      <c r="P178" s="69">
        <v>300000</v>
      </c>
      <c r="Q178" s="28" t="s">
        <v>742</v>
      </c>
      <c r="R178" s="29"/>
    </row>
    <row r="179" spans="1:18" hidden="1" x14ac:dyDescent="0.2">
      <c r="A179" s="29" t="s">
        <v>743</v>
      </c>
      <c r="B179" s="31" t="s">
        <v>571</v>
      </c>
      <c r="C179" s="36" t="s">
        <v>31</v>
      </c>
      <c r="D179" s="92" t="s">
        <v>744</v>
      </c>
      <c r="E179" s="70" t="s">
        <v>745</v>
      </c>
      <c r="F179" s="29" t="s">
        <v>746</v>
      </c>
      <c r="G179" s="29" t="s">
        <v>133</v>
      </c>
      <c r="H179" s="29" t="s">
        <v>573</v>
      </c>
      <c r="I179" s="56" t="s">
        <v>47</v>
      </c>
      <c r="J179" s="31" t="s">
        <v>662</v>
      </c>
      <c r="K179" s="31" t="s">
        <v>663</v>
      </c>
      <c r="L179" s="29" t="s">
        <v>8</v>
      </c>
      <c r="M179" s="71">
        <v>43831</v>
      </c>
      <c r="N179" s="67">
        <v>307623</v>
      </c>
      <c r="O179" s="68">
        <v>307623</v>
      </c>
      <c r="P179" s="69">
        <v>307623</v>
      </c>
      <c r="Q179" s="28" t="s">
        <v>747</v>
      </c>
      <c r="R179" s="29"/>
    </row>
    <row r="180" spans="1:18" hidden="1" x14ac:dyDescent="0.2">
      <c r="A180" s="29" t="s">
        <v>748</v>
      </c>
      <c r="B180" s="31" t="s">
        <v>571</v>
      </c>
      <c r="C180" s="36" t="s">
        <v>31</v>
      </c>
      <c r="D180" s="92" t="s">
        <v>749</v>
      </c>
      <c r="E180" s="70" t="s">
        <v>750</v>
      </c>
      <c r="F180" s="29" t="s">
        <v>55</v>
      </c>
      <c r="G180" s="29" t="s">
        <v>56</v>
      </c>
      <c r="H180" s="29" t="s">
        <v>576</v>
      </c>
      <c r="I180" s="56" t="s">
        <v>582</v>
      </c>
      <c r="J180" s="31" t="s">
        <v>751</v>
      </c>
      <c r="K180" s="31" t="s">
        <v>752</v>
      </c>
      <c r="L180" s="29" t="s">
        <v>8</v>
      </c>
      <c r="M180" s="63">
        <v>43857</v>
      </c>
      <c r="N180" s="67">
        <v>2063517</v>
      </c>
      <c r="O180" s="68">
        <v>2063517</v>
      </c>
      <c r="P180" s="69">
        <v>2063517</v>
      </c>
      <c r="Q180" s="28" t="s">
        <v>753</v>
      </c>
      <c r="R180" s="29"/>
    </row>
    <row r="181" spans="1:18" x14ac:dyDescent="0.2">
      <c r="A181" s="29" t="s">
        <v>754</v>
      </c>
      <c r="B181" s="31" t="s">
        <v>571</v>
      </c>
      <c r="C181" s="36" t="s">
        <v>31</v>
      </c>
      <c r="D181" s="92" t="s">
        <v>755</v>
      </c>
      <c r="E181" s="70" t="s">
        <v>447</v>
      </c>
      <c r="F181" s="29" t="s">
        <v>55</v>
      </c>
      <c r="G181" s="29" t="s">
        <v>56</v>
      </c>
      <c r="H181" s="29" t="s">
        <v>756</v>
      </c>
      <c r="I181" s="56" t="s">
        <v>582</v>
      </c>
      <c r="J181" s="31" t="s">
        <v>714</v>
      </c>
      <c r="K181" s="29"/>
      <c r="L181" s="29" t="s">
        <v>5</v>
      </c>
      <c r="M181" s="63">
        <v>44470</v>
      </c>
      <c r="N181" s="67">
        <v>246265</v>
      </c>
      <c r="O181" s="68">
        <v>246365</v>
      </c>
      <c r="P181" s="69">
        <v>246365</v>
      </c>
      <c r="Q181" s="28" t="s">
        <v>757</v>
      </c>
      <c r="R181" s="29"/>
    </row>
    <row r="182" spans="1:18" x14ac:dyDescent="0.2">
      <c r="A182" s="31" t="s">
        <v>758</v>
      </c>
      <c r="B182" s="31" t="s">
        <v>30</v>
      </c>
      <c r="C182" s="36" t="s">
        <v>31</v>
      </c>
      <c r="D182" s="31" t="s">
        <v>759</v>
      </c>
      <c r="E182" s="31" t="s">
        <v>760</v>
      </c>
      <c r="F182" s="31" t="s">
        <v>55</v>
      </c>
      <c r="G182" s="31" t="s">
        <v>56</v>
      </c>
      <c r="H182" s="31" t="s">
        <v>36</v>
      </c>
      <c r="I182" s="56" t="s">
        <v>101</v>
      </c>
      <c r="J182" s="31" t="s">
        <v>761</v>
      </c>
      <c r="K182" s="31" t="s">
        <v>762</v>
      </c>
      <c r="L182" s="31" t="s">
        <v>5</v>
      </c>
      <c r="M182" s="29">
        <v>44593</v>
      </c>
      <c r="N182" s="67">
        <v>4955809</v>
      </c>
      <c r="O182" s="68"/>
      <c r="P182" s="69">
        <v>4955809</v>
      </c>
      <c r="Q182" s="28" t="s">
        <v>763</v>
      </c>
      <c r="R182" s="29"/>
    </row>
    <row r="183" spans="1:18" x14ac:dyDescent="0.2">
      <c r="A183" s="31" t="s">
        <v>764</v>
      </c>
      <c r="B183" s="31" t="s">
        <v>30</v>
      </c>
      <c r="C183" s="36" t="s">
        <v>31</v>
      </c>
      <c r="D183" s="29" t="s">
        <v>765</v>
      </c>
      <c r="E183" s="31" t="s">
        <v>766</v>
      </c>
      <c r="F183" s="31" t="s">
        <v>55</v>
      </c>
      <c r="G183" s="31" t="s">
        <v>35</v>
      </c>
      <c r="H183" s="31" t="s">
        <v>36</v>
      </c>
      <c r="I183" s="56" t="s">
        <v>101</v>
      </c>
      <c r="J183" s="31" t="s">
        <v>761</v>
      </c>
      <c r="K183" s="31" t="s">
        <v>762</v>
      </c>
      <c r="L183" s="31" t="s">
        <v>5</v>
      </c>
      <c r="M183" s="63">
        <v>44682</v>
      </c>
      <c r="N183" s="67">
        <v>2477361</v>
      </c>
      <c r="O183" s="68"/>
      <c r="P183" s="69">
        <v>2477361</v>
      </c>
      <c r="Q183" s="28" t="s">
        <v>767</v>
      </c>
      <c r="R183" s="29"/>
    </row>
    <row r="184" spans="1:18" x14ac:dyDescent="0.2">
      <c r="A184" s="31" t="s">
        <v>768</v>
      </c>
      <c r="B184" s="31" t="s">
        <v>30</v>
      </c>
      <c r="C184" s="36" t="s">
        <v>31</v>
      </c>
      <c r="D184" s="29" t="s">
        <v>769</v>
      </c>
      <c r="E184" s="31" t="s">
        <v>150</v>
      </c>
      <c r="F184" s="31" t="s">
        <v>68</v>
      </c>
      <c r="G184" s="31" t="s">
        <v>35</v>
      </c>
      <c r="H184" s="31" t="s">
        <v>36</v>
      </c>
      <c r="I184" s="56" t="s">
        <v>95</v>
      </c>
      <c r="J184" s="31" t="s">
        <v>761</v>
      </c>
      <c r="K184" s="31" t="s">
        <v>762</v>
      </c>
      <c r="L184" s="31" t="s">
        <v>5</v>
      </c>
      <c r="M184" s="63">
        <v>44697</v>
      </c>
      <c r="N184" s="67">
        <v>1288680</v>
      </c>
      <c r="O184" s="68"/>
      <c r="P184" s="69">
        <v>1288680</v>
      </c>
      <c r="Q184" s="28" t="s">
        <v>770</v>
      </c>
      <c r="R184" s="29"/>
    </row>
    <row r="185" spans="1:18" x14ac:dyDescent="0.2">
      <c r="A185" s="31" t="s">
        <v>771</v>
      </c>
      <c r="B185" s="31" t="s">
        <v>30</v>
      </c>
      <c r="C185" s="36" t="s">
        <v>31</v>
      </c>
      <c r="D185" s="29" t="s">
        <v>772</v>
      </c>
      <c r="E185" s="31" t="s">
        <v>476</v>
      </c>
      <c r="F185" s="31" t="s">
        <v>46</v>
      </c>
      <c r="G185" s="31" t="s">
        <v>35</v>
      </c>
      <c r="H185" s="31" t="s">
        <v>36</v>
      </c>
      <c r="I185" s="56" t="s">
        <v>101</v>
      </c>
      <c r="J185" s="31" t="s">
        <v>761</v>
      </c>
      <c r="K185" s="31" t="s">
        <v>762</v>
      </c>
      <c r="L185" s="31" t="s">
        <v>5</v>
      </c>
      <c r="M185" s="63">
        <v>44854</v>
      </c>
      <c r="N185" s="67">
        <v>5559243</v>
      </c>
      <c r="O185" s="68"/>
      <c r="P185" s="69">
        <v>5559243</v>
      </c>
      <c r="Q185" s="28" t="s">
        <v>773</v>
      </c>
      <c r="R185" s="29"/>
    </row>
    <row r="186" spans="1:18" x14ac:dyDescent="0.2">
      <c r="A186" s="31" t="s">
        <v>774</v>
      </c>
      <c r="B186" s="31" t="s">
        <v>30</v>
      </c>
      <c r="C186" s="36" t="s">
        <v>31</v>
      </c>
      <c r="D186" s="29" t="s">
        <v>775</v>
      </c>
      <c r="E186" s="31" t="s">
        <v>316</v>
      </c>
      <c r="F186" s="31" t="s">
        <v>132</v>
      </c>
      <c r="G186" s="31" t="s">
        <v>133</v>
      </c>
      <c r="H186" s="31" t="s">
        <v>36</v>
      </c>
      <c r="I186" s="56" t="s">
        <v>101</v>
      </c>
      <c r="J186" s="31" t="s">
        <v>776</v>
      </c>
      <c r="K186" s="31" t="s">
        <v>762</v>
      </c>
      <c r="L186" s="31" t="s">
        <v>5</v>
      </c>
      <c r="M186" s="63">
        <v>45017</v>
      </c>
      <c r="N186" s="67">
        <v>513372</v>
      </c>
      <c r="O186" s="68"/>
      <c r="P186" s="69">
        <v>513372</v>
      </c>
      <c r="Q186" s="28" t="s">
        <v>777</v>
      </c>
      <c r="R186" s="29"/>
    </row>
    <row r="187" spans="1:18" x14ac:dyDescent="0.2">
      <c r="A187" s="31" t="s">
        <v>778</v>
      </c>
      <c r="B187" s="31" t="s">
        <v>30</v>
      </c>
      <c r="C187" s="36" t="s">
        <v>31</v>
      </c>
      <c r="D187" s="29" t="s">
        <v>779</v>
      </c>
      <c r="E187" s="31" t="s">
        <v>780</v>
      </c>
      <c r="F187" s="31" t="s">
        <v>781</v>
      </c>
      <c r="G187" s="31" t="s">
        <v>35</v>
      </c>
      <c r="H187" s="31" t="s">
        <v>36</v>
      </c>
      <c r="I187" s="56" t="s">
        <v>101</v>
      </c>
      <c r="J187" s="31" t="s">
        <v>776</v>
      </c>
      <c r="K187" s="31" t="s">
        <v>762</v>
      </c>
      <c r="L187" s="31" t="s">
        <v>5</v>
      </c>
      <c r="M187" s="63">
        <v>45017</v>
      </c>
      <c r="N187" s="67">
        <v>509875</v>
      </c>
      <c r="O187" s="68"/>
      <c r="P187" s="69">
        <v>509875</v>
      </c>
      <c r="Q187" s="28" t="s">
        <v>782</v>
      </c>
      <c r="R187" s="29"/>
    </row>
    <row r="188" spans="1:18" x14ac:dyDescent="0.2">
      <c r="A188" s="29" t="s">
        <v>783</v>
      </c>
      <c r="B188" s="31" t="s">
        <v>30</v>
      </c>
      <c r="C188" s="36" t="s">
        <v>31</v>
      </c>
      <c r="D188" s="29" t="s">
        <v>784</v>
      </c>
      <c r="E188" s="31" t="s">
        <v>785</v>
      </c>
      <c r="F188" s="31" t="s">
        <v>297</v>
      </c>
      <c r="G188" s="31" t="s">
        <v>35</v>
      </c>
      <c r="H188" s="31" t="s">
        <v>36</v>
      </c>
      <c r="I188" s="56" t="s">
        <v>101</v>
      </c>
      <c r="J188" s="31" t="s">
        <v>776</v>
      </c>
      <c r="K188" s="31" t="s">
        <v>762</v>
      </c>
      <c r="L188" s="31" t="s">
        <v>5</v>
      </c>
      <c r="M188" s="63">
        <v>44958</v>
      </c>
      <c r="N188" s="67">
        <v>378925</v>
      </c>
      <c r="O188" s="68"/>
      <c r="P188" s="69">
        <v>378925</v>
      </c>
      <c r="Q188" s="28" t="s">
        <v>786</v>
      </c>
      <c r="R188" s="29"/>
    </row>
    <row r="189" spans="1:18" x14ac:dyDescent="0.2">
      <c r="A189" s="31" t="s">
        <v>787</v>
      </c>
      <c r="B189" s="31" t="s">
        <v>30</v>
      </c>
      <c r="C189" s="36" t="s">
        <v>31</v>
      </c>
      <c r="D189" s="29" t="s">
        <v>788</v>
      </c>
      <c r="E189" s="31" t="s">
        <v>789</v>
      </c>
      <c r="F189" s="31" t="s">
        <v>790</v>
      </c>
      <c r="G189" s="31" t="s">
        <v>133</v>
      </c>
      <c r="H189" s="31" t="s">
        <v>36</v>
      </c>
      <c r="I189" s="56" t="s">
        <v>101</v>
      </c>
      <c r="J189" s="31" t="s">
        <v>776</v>
      </c>
      <c r="K189" s="31" t="s">
        <v>762</v>
      </c>
      <c r="L189" s="31" t="s">
        <v>5</v>
      </c>
      <c r="M189" s="63">
        <v>44896</v>
      </c>
      <c r="N189" s="67">
        <v>509905</v>
      </c>
      <c r="O189" s="68"/>
      <c r="P189" s="69">
        <v>509905</v>
      </c>
      <c r="Q189" s="28" t="s">
        <v>791</v>
      </c>
      <c r="R189" s="29"/>
    </row>
    <row r="190" spans="1:18" x14ac:dyDescent="0.2">
      <c r="A190" s="31" t="s">
        <v>792</v>
      </c>
      <c r="B190" s="31" t="s">
        <v>30</v>
      </c>
      <c r="C190" s="36" t="s">
        <v>31</v>
      </c>
      <c r="D190" s="29" t="s">
        <v>793</v>
      </c>
      <c r="E190" s="31" t="s">
        <v>794</v>
      </c>
      <c r="F190" s="31" t="s">
        <v>46</v>
      </c>
      <c r="G190" s="31" t="s">
        <v>35</v>
      </c>
      <c r="H190" s="31" t="s">
        <v>36</v>
      </c>
      <c r="I190" s="56" t="s">
        <v>101</v>
      </c>
      <c r="J190" s="31" t="s">
        <v>776</v>
      </c>
      <c r="K190" s="31" t="s">
        <v>762</v>
      </c>
      <c r="L190" s="31" t="s">
        <v>5</v>
      </c>
      <c r="M190" s="63">
        <v>44835</v>
      </c>
      <c r="N190" s="67">
        <v>565228</v>
      </c>
      <c r="O190" s="68"/>
      <c r="P190" s="69">
        <v>565228</v>
      </c>
      <c r="Q190" s="28" t="s">
        <v>795</v>
      </c>
      <c r="R190" s="29"/>
    </row>
    <row r="191" spans="1:18" x14ac:dyDescent="0.2">
      <c r="A191" s="31" t="s">
        <v>796</v>
      </c>
      <c r="B191" s="31" t="s">
        <v>30</v>
      </c>
      <c r="C191" s="36" t="s">
        <v>31</v>
      </c>
      <c r="D191" s="29" t="s">
        <v>797</v>
      </c>
      <c r="E191" s="31" t="s">
        <v>798</v>
      </c>
      <c r="F191" s="31" t="s">
        <v>55</v>
      </c>
      <c r="G191" s="31" t="s">
        <v>56</v>
      </c>
      <c r="H191" s="31" t="s">
        <v>36</v>
      </c>
      <c r="I191" s="56" t="s">
        <v>95</v>
      </c>
      <c r="J191" s="31" t="s">
        <v>776</v>
      </c>
      <c r="K191" s="31" t="s">
        <v>762</v>
      </c>
      <c r="L191" s="31" t="s">
        <v>5</v>
      </c>
      <c r="M191" s="63">
        <v>45170</v>
      </c>
      <c r="N191" s="67">
        <v>176005</v>
      </c>
      <c r="O191" s="68"/>
      <c r="P191" s="69">
        <v>176005</v>
      </c>
      <c r="Q191" s="28" t="s">
        <v>799</v>
      </c>
      <c r="R191" s="29"/>
    </row>
    <row r="192" spans="1:18" x14ac:dyDescent="0.2">
      <c r="A192" s="31" t="s">
        <v>800</v>
      </c>
      <c r="B192" s="31" t="s">
        <v>30</v>
      </c>
      <c r="C192" s="36" t="s">
        <v>31</v>
      </c>
      <c r="D192" s="29" t="s">
        <v>801</v>
      </c>
      <c r="E192" s="31" t="s">
        <v>802</v>
      </c>
      <c r="F192" s="31" t="s">
        <v>46</v>
      </c>
      <c r="G192" s="31" t="s">
        <v>35</v>
      </c>
      <c r="H192" s="31" t="s">
        <v>36</v>
      </c>
      <c r="I192" s="56" t="s">
        <v>101</v>
      </c>
      <c r="J192" s="31" t="s">
        <v>776</v>
      </c>
      <c r="K192" s="31" t="s">
        <v>762</v>
      </c>
      <c r="L192" s="31" t="s">
        <v>5</v>
      </c>
      <c r="M192" s="63">
        <v>44835</v>
      </c>
      <c r="N192" s="67">
        <v>556300</v>
      </c>
      <c r="O192" s="68"/>
      <c r="P192" s="69">
        <v>556300</v>
      </c>
      <c r="Q192" s="28" t="s">
        <v>803</v>
      </c>
      <c r="R192" s="29"/>
    </row>
    <row r="193" spans="1:18" x14ac:dyDescent="0.2">
      <c r="A193" s="31" t="s">
        <v>804</v>
      </c>
      <c r="B193" s="31" t="s">
        <v>30</v>
      </c>
      <c r="C193" s="36" t="s">
        <v>31</v>
      </c>
      <c r="D193" s="29" t="s">
        <v>805</v>
      </c>
      <c r="E193" s="31" t="s">
        <v>806</v>
      </c>
      <c r="F193" s="31" t="s">
        <v>55</v>
      </c>
      <c r="G193" s="31" t="s">
        <v>56</v>
      </c>
      <c r="H193" s="31" t="s">
        <v>36</v>
      </c>
      <c r="I193" s="56" t="s">
        <v>101</v>
      </c>
      <c r="J193" s="31" t="s">
        <v>776</v>
      </c>
      <c r="K193" s="31" t="s">
        <v>762</v>
      </c>
      <c r="L193" s="31" t="s">
        <v>5</v>
      </c>
      <c r="M193" s="63">
        <v>45108</v>
      </c>
      <c r="N193" s="67">
        <v>470546</v>
      </c>
      <c r="O193" s="68"/>
      <c r="P193" s="69">
        <v>470546</v>
      </c>
      <c r="Q193" s="28" t="s">
        <v>807</v>
      </c>
      <c r="R193" s="29"/>
    </row>
    <row r="194" spans="1:18" x14ac:dyDescent="0.2">
      <c r="A194" s="31" t="s">
        <v>808</v>
      </c>
      <c r="B194" s="31" t="s">
        <v>30</v>
      </c>
      <c r="C194" s="36" t="s">
        <v>31</v>
      </c>
      <c r="D194" s="29" t="s">
        <v>809</v>
      </c>
      <c r="E194" s="31" t="s">
        <v>810</v>
      </c>
      <c r="F194" s="31" t="s">
        <v>811</v>
      </c>
      <c r="G194" s="31" t="s">
        <v>35</v>
      </c>
      <c r="H194" s="31" t="s">
        <v>36</v>
      </c>
      <c r="I194" s="56" t="s">
        <v>95</v>
      </c>
      <c r="J194" s="31" t="s">
        <v>776</v>
      </c>
      <c r="K194" s="31" t="s">
        <v>762</v>
      </c>
      <c r="L194" s="31" t="s">
        <v>5</v>
      </c>
      <c r="M194" s="63">
        <v>44927</v>
      </c>
      <c r="N194" s="67">
        <v>524866</v>
      </c>
      <c r="O194" s="68"/>
      <c r="P194" s="69">
        <v>524866</v>
      </c>
      <c r="Q194" s="28" t="s">
        <v>812</v>
      </c>
      <c r="R194" s="29"/>
    </row>
    <row r="195" spans="1:18" x14ac:dyDescent="0.2">
      <c r="A195" s="31" t="s">
        <v>813</v>
      </c>
      <c r="B195" s="31" t="s">
        <v>30</v>
      </c>
      <c r="C195" s="36" t="s">
        <v>31</v>
      </c>
      <c r="D195" s="29" t="s">
        <v>814</v>
      </c>
      <c r="E195" s="31" t="s">
        <v>766</v>
      </c>
      <c r="F195" s="31" t="s">
        <v>815</v>
      </c>
      <c r="G195" s="31" t="s">
        <v>56</v>
      </c>
      <c r="H195" s="31" t="s">
        <v>36</v>
      </c>
      <c r="I195" s="56" t="s">
        <v>101</v>
      </c>
      <c r="J195" s="31" t="s">
        <v>776</v>
      </c>
      <c r="K195" s="31" t="s">
        <v>762</v>
      </c>
      <c r="L195" s="31" t="s">
        <v>5</v>
      </c>
      <c r="M195" s="63">
        <v>45078</v>
      </c>
      <c r="N195" s="67">
        <v>533798</v>
      </c>
      <c r="O195" s="68"/>
      <c r="P195" s="69">
        <v>533798</v>
      </c>
      <c r="Q195" s="28" t="s">
        <v>816</v>
      </c>
      <c r="R195" s="29"/>
    </row>
    <row r="196" spans="1:18" x14ac:dyDescent="0.2">
      <c r="A196" s="31" t="s">
        <v>817</v>
      </c>
      <c r="B196" s="31" t="s">
        <v>30</v>
      </c>
      <c r="C196" s="36" t="s">
        <v>31</v>
      </c>
      <c r="D196" s="29" t="s">
        <v>818</v>
      </c>
      <c r="E196" s="31" t="s">
        <v>78</v>
      </c>
      <c r="F196" s="31" t="s">
        <v>55</v>
      </c>
      <c r="G196" s="31" t="s">
        <v>56</v>
      </c>
      <c r="H196" s="31" t="s">
        <v>36</v>
      </c>
      <c r="I196" s="56" t="s">
        <v>47</v>
      </c>
      <c r="J196" s="31" t="s">
        <v>776</v>
      </c>
      <c r="K196" s="31" t="s">
        <v>762</v>
      </c>
      <c r="L196" s="31" t="s">
        <v>5</v>
      </c>
      <c r="M196" s="63">
        <v>44866</v>
      </c>
      <c r="N196" s="67">
        <v>519891</v>
      </c>
      <c r="O196" s="68"/>
      <c r="P196" s="69">
        <v>519891</v>
      </c>
      <c r="Q196" s="28" t="s">
        <v>819</v>
      </c>
      <c r="R196" s="29"/>
    </row>
    <row r="197" spans="1:18" x14ac:dyDescent="0.2">
      <c r="A197" s="31" t="s">
        <v>820</v>
      </c>
      <c r="B197" s="31" t="s">
        <v>30</v>
      </c>
      <c r="C197" s="36" t="s">
        <v>31</v>
      </c>
      <c r="D197" s="29" t="s">
        <v>821</v>
      </c>
      <c r="E197" s="31" t="s">
        <v>822</v>
      </c>
      <c r="F197" s="31" t="s">
        <v>823</v>
      </c>
      <c r="G197" s="31" t="s">
        <v>35</v>
      </c>
      <c r="H197" s="31" t="s">
        <v>36</v>
      </c>
      <c r="I197" s="56" t="s">
        <v>101</v>
      </c>
      <c r="J197" s="31" t="s">
        <v>776</v>
      </c>
      <c r="K197" s="31" t="s">
        <v>762</v>
      </c>
      <c r="L197" s="31" t="s">
        <v>5</v>
      </c>
      <c r="M197" s="63">
        <v>44837</v>
      </c>
      <c r="N197" s="67">
        <v>504479</v>
      </c>
      <c r="O197" s="68"/>
      <c r="P197" s="69">
        <v>504479</v>
      </c>
      <c r="Q197" s="28" t="s">
        <v>824</v>
      </c>
      <c r="R197" s="29"/>
    </row>
    <row r="198" spans="1:18" x14ac:dyDescent="0.2">
      <c r="A198" s="31" t="s">
        <v>825</v>
      </c>
      <c r="B198" s="31" t="s">
        <v>30</v>
      </c>
      <c r="C198" s="36" t="s">
        <v>31</v>
      </c>
      <c r="D198" s="29" t="s">
        <v>826</v>
      </c>
      <c r="E198" s="31" t="s">
        <v>827</v>
      </c>
      <c r="F198" s="31" t="s">
        <v>34</v>
      </c>
      <c r="G198" s="31" t="s">
        <v>35</v>
      </c>
      <c r="H198" s="31" t="s">
        <v>36</v>
      </c>
      <c r="I198" s="56" t="s">
        <v>101</v>
      </c>
      <c r="J198" s="31" t="s">
        <v>776</v>
      </c>
      <c r="K198" s="31" t="s">
        <v>762</v>
      </c>
      <c r="L198" s="31" t="s">
        <v>5</v>
      </c>
      <c r="M198" s="63">
        <v>45047</v>
      </c>
      <c r="N198" s="67">
        <v>534931</v>
      </c>
      <c r="O198" s="68"/>
      <c r="P198" s="69">
        <v>534931</v>
      </c>
      <c r="Q198" s="28" t="s">
        <v>828</v>
      </c>
      <c r="R198" s="29"/>
    </row>
    <row r="199" spans="1:18" x14ac:dyDescent="0.2">
      <c r="A199" s="31" t="s">
        <v>829</v>
      </c>
      <c r="B199" s="31" t="s">
        <v>30</v>
      </c>
      <c r="C199" s="36" t="s">
        <v>31</v>
      </c>
      <c r="D199" s="29" t="s">
        <v>830</v>
      </c>
      <c r="E199" s="31" t="s">
        <v>831</v>
      </c>
      <c r="F199" s="31" t="s">
        <v>55</v>
      </c>
      <c r="G199" s="31" t="s">
        <v>56</v>
      </c>
      <c r="H199" s="31" t="s">
        <v>36</v>
      </c>
      <c r="I199" s="56" t="s">
        <v>101</v>
      </c>
      <c r="J199" s="31" t="s">
        <v>776</v>
      </c>
      <c r="K199" s="31" t="s">
        <v>762</v>
      </c>
      <c r="L199" s="31" t="s">
        <v>5</v>
      </c>
      <c r="M199" s="63">
        <v>45078</v>
      </c>
      <c r="N199" s="67">
        <v>393393</v>
      </c>
      <c r="O199" s="68"/>
      <c r="P199" s="69">
        <v>393393</v>
      </c>
      <c r="Q199" s="28" t="s">
        <v>832</v>
      </c>
      <c r="R199" s="29"/>
    </row>
    <row r="200" spans="1:18" x14ac:dyDescent="0.2">
      <c r="A200" s="31" t="s">
        <v>833</v>
      </c>
      <c r="B200" s="31" t="s">
        <v>30</v>
      </c>
      <c r="C200" s="36" t="s">
        <v>31</v>
      </c>
      <c r="D200" s="29" t="s">
        <v>834</v>
      </c>
      <c r="E200" s="31" t="s">
        <v>381</v>
      </c>
      <c r="F200" s="31" t="s">
        <v>55</v>
      </c>
      <c r="G200" s="31" t="s">
        <v>56</v>
      </c>
      <c r="H200" s="31" t="s">
        <v>36</v>
      </c>
      <c r="I200" s="56" t="s">
        <v>101</v>
      </c>
      <c r="J200" s="31" t="s">
        <v>776</v>
      </c>
      <c r="K200" s="31" t="s">
        <v>762</v>
      </c>
      <c r="L200" s="31" t="s">
        <v>5</v>
      </c>
      <c r="M200" s="63">
        <v>45139</v>
      </c>
      <c r="N200" s="67">
        <v>460648</v>
      </c>
      <c r="O200" s="68"/>
      <c r="P200" s="69">
        <v>460648</v>
      </c>
      <c r="Q200" s="28" t="s">
        <v>835</v>
      </c>
      <c r="R200" s="29"/>
    </row>
    <row r="201" spans="1:18" x14ac:dyDescent="0.2">
      <c r="A201" s="31" t="s">
        <v>836</v>
      </c>
      <c r="B201" s="31" t="s">
        <v>30</v>
      </c>
      <c r="C201" s="36" t="s">
        <v>31</v>
      </c>
      <c r="D201" s="29" t="s">
        <v>837</v>
      </c>
      <c r="E201" s="31" t="s">
        <v>838</v>
      </c>
      <c r="F201" s="31" t="s">
        <v>242</v>
      </c>
      <c r="G201" s="31" t="s">
        <v>133</v>
      </c>
      <c r="H201" s="31" t="s">
        <v>36</v>
      </c>
      <c r="I201" s="56" t="s">
        <v>101</v>
      </c>
      <c r="J201" s="31" t="s">
        <v>776</v>
      </c>
      <c r="K201" s="31" t="s">
        <v>762</v>
      </c>
      <c r="L201" s="31" t="s">
        <v>5</v>
      </c>
      <c r="M201" s="63">
        <v>44941</v>
      </c>
      <c r="N201" s="67">
        <v>514354.69</v>
      </c>
      <c r="O201" s="68"/>
      <c r="P201" s="69">
        <v>514354.69</v>
      </c>
      <c r="Q201" s="28" t="s">
        <v>839</v>
      </c>
      <c r="R201" s="29"/>
    </row>
    <row r="202" spans="1:18" x14ac:dyDescent="0.2">
      <c r="A202" s="31" t="s">
        <v>840</v>
      </c>
      <c r="B202" s="31" t="s">
        <v>30</v>
      </c>
      <c r="C202" s="36" t="s">
        <v>31</v>
      </c>
      <c r="D202" s="29" t="s">
        <v>841</v>
      </c>
      <c r="E202" s="31" t="s">
        <v>842</v>
      </c>
      <c r="F202" s="31" t="s">
        <v>55</v>
      </c>
      <c r="G202" s="31" t="s">
        <v>56</v>
      </c>
      <c r="H202" s="31" t="s">
        <v>36</v>
      </c>
      <c r="I202" s="56" t="s">
        <v>101</v>
      </c>
      <c r="J202" s="31" t="s">
        <v>776</v>
      </c>
      <c r="K202" s="31" t="s">
        <v>762</v>
      </c>
      <c r="L202" s="31" t="s">
        <v>5</v>
      </c>
      <c r="M202" s="63">
        <v>45017</v>
      </c>
      <c r="N202" s="67">
        <v>508827</v>
      </c>
      <c r="O202" s="68"/>
      <c r="P202" s="69">
        <v>508827</v>
      </c>
      <c r="Q202" s="28" t="s">
        <v>843</v>
      </c>
      <c r="R202" s="29"/>
    </row>
    <row r="203" spans="1:18" x14ac:dyDescent="0.2">
      <c r="A203" s="31" t="s">
        <v>844</v>
      </c>
      <c r="B203" s="31" t="s">
        <v>30</v>
      </c>
      <c r="C203" s="36" t="s">
        <v>31</v>
      </c>
      <c r="D203" s="29" t="s">
        <v>845</v>
      </c>
      <c r="E203" s="31" t="s">
        <v>846</v>
      </c>
      <c r="F203" s="31" t="s">
        <v>46</v>
      </c>
      <c r="G203" s="31" t="s">
        <v>35</v>
      </c>
      <c r="H203" s="31" t="s">
        <v>36</v>
      </c>
      <c r="I203" s="56" t="s">
        <v>101</v>
      </c>
      <c r="J203" s="31" t="s">
        <v>776</v>
      </c>
      <c r="K203" s="31" t="s">
        <v>762</v>
      </c>
      <c r="L203" s="31" t="s">
        <v>5</v>
      </c>
      <c r="M203" s="63">
        <v>44927</v>
      </c>
      <c r="N203" s="67">
        <v>566937</v>
      </c>
      <c r="O203" s="68"/>
      <c r="P203" s="69">
        <v>566937</v>
      </c>
      <c r="Q203" s="28" t="s">
        <v>847</v>
      </c>
      <c r="R203" s="29"/>
    </row>
    <row r="204" spans="1:18" x14ac:dyDescent="0.2">
      <c r="A204" s="31" t="s">
        <v>848</v>
      </c>
      <c r="B204" s="31" t="s">
        <v>30</v>
      </c>
      <c r="C204" s="36" t="s">
        <v>31</v>
      </c>
      <c r="D204" s="29" t="s">
        <v>849</v>
      </c>
      <c r="E204" s="31" t="s">
        <v>850</v>
      </c>
      <c r="F204" s="31" t="s">
        <v>46</v>
      </c>
      <c r="G204" s="31" t="s">
        <v>35</v>
      </c>
      <c r="H204" s="31" t="s">
        <v>36</v>
      </c>
      <c r="I204" s="56" t="s">
        <v>101</v>
      </c>
      <c r="J204" s="31" t="s">
        <v>776</v>
      </c>
      <c r="K204" s="31" t="s">
        <v>762</v>
      </c>
      <c r="L204" s="31" t="s">
        <v>5</v>
      </c>
      <c r="M204" s="63">
        <v>44867</v>
      </c>
      <c r="N204" s="67">
        <v>553752</v>
      </c>
      <c r="O204" s="68"/>
      <c r="P204" s="69">
        <v>553752</v>
      </c>
      <c r="Q204" s="28" t="s">
        <v>851</v>
      </c>
      <c r="R204" s="29"/>
    </row>
    <row r="205" spans="1:18" x14ac:dyDescent="0.2">
      <c r="A205" s="31" t="s">
        <v>852</v>
      </c>
      <c r="B205" s="31" t="s">
        <v>30</v>
      </c>
      <c r="C205" s="36" t="s">
        <v>31</v>
      </c>
      <c r="D205" s="29" t="s">
        <v>853</v>
      </c>
      <c r="E205" s="31" t="s">
        <v>674</v>
      </c>
      <c r="F205" s="31" t="s">
        <v>55</v>
      </c>
      <c r="G205" s="31" t="s">
        <v>56</v>
      </c>
      <c r="H205" s="31" t="s">
        <v>36</v>
      </c>
      <c r="I205" s="56" t="s">
        <v>101</v>
      </c>
      <c r="J205" s="31" t="s">
        <v>776</v>
      </c>
      <c r="K205" s="31" t="s">
        <v>762</v>
      </c>
      <c r="L205" s="31" t="s">
        <v>5</v>
      </c>
      <c r="M205" s="63">
        <v>45108</v>
      </c>
      <c r="N205" s="67">
        <v>483759</v>
      </c>
      <c r="O205" s="68"/>
      <c r="P205" s="69">
        <v>483759</v>
      </c>
      <c r="Q205" s="28" t="s">
        <v>854</v>
      </c>
      <c r="R205" s="29"/>
    </row>
    <row r="206" spans="1:18" x14ac:dyDescent="0.2">
      <c r="A206" s="31" t="s">
        <v>855</v>
      </c>
      <c r="B206" s="31" t="s">
        <v>30</v>
      </c>
      <c r="C206" s="36" t="s">
        <v>31</v>
      </c>
      <c r="D206" s="29" t="s">
        <v>856</v>
      </c>
      <c r="E206" s="31" t="s">
        <v>857</v>
      </c>
      <c r="F206" s="31" t="s">
        <v>159</v>
      </c>
      <c r="G206" s="31" t="s">
        <v>35</v>
      </c>
      <c r="H206" s="31" t="s">
        <v>36</v>
      </c>
      <c r="I206" s="56" t="s">
        <v>101</v>
      </c>
      <c r="J206" s="31" t="s">
        <v>776</v>
      </c>
      <c r="K206" s="31" t="s">
        <v>762</v>
      </c>
      <c r="L206" s="31" t="s">
        <v>5</v>
      </c>
      <c r="M206" s="63">
        <v>45200</v>
      </c>
      <c r="N206" s="67">
        <v>271702</v>
      </c>
      <c r="O206" s="68"/>
      <c r="P206" s="69">
        <v>271702</v>
      </c>
      <c r="Q206" s="28" t="s">
        <v>858</v>
      </c>
      <c r="R206" s="29"/>
    </row>
    <row r="207" spans="1:18" x14ac:dyDescent="0.2">
      <c r="A207" s="31" t="s">
        <v>859</v>
      </c>
      <c r="B207" s="31" t="s">
        <v>30</v>
      </c>
      <c r="C207" s="36" t="s">
        <v>31</v>
      </c>
      <c r="D207" s="31" t="s">
        <v>860</v>
      </c>
      <c r="E207" s="31" t="s">
        <v>591</v>
      </c>
      <c r="F207" s="31" t="s">
        <v>55</v>
      </c>
      <c r="G207" s="31" t="s">
        <v>56</v>
      </c>
      <c r="H207" s="31" t="s">
        <v>36</v>
      </c>
      <c r="I207" s="56" t="s">
        <v>582</v>
      </c>
      <c r="J207" s="31" t="s">
        <v>761</v>
      </c>
      <c r="K207" s="31" t="s">
        <v>762</v>
      </c>
      <c r="L207" s="31" t="s">
        <v>5</v>
      </c>
      <c r="M207" s="29">
        <v>45113</v>
      </c>
      <c r="N207" s="67">
        <v>3497450</v>
      </c>
      <c r="O207" s="68"/>
      <c r="P207" s="69">
        <v>3497450</v>
      </c>
      <c r="Q207" s="28" t="s">
        <v>861</v>
      </c>
      <c r="R207" s="29"/>
    </row>
    <row r="208" spans="1:18" x14ac:dyDescent="0.2">
      <c r="A208" s="31" t="s">
        <v>862</v>
      </c>
      <c r="B208" s="31" t="s">
        <v>30</v>
      </c>
      <c r="C208" s="36" t="s">
        <v>31</v>
      </c>
      <c r="D208" s="29" t="s">
        <v>863</v>
      </c>
      <c r="E208" s="31" t="s">
        <v>864</v>
      </c>
      <c r="F208" s="31" t="s">
        <v>46</v>
      </c>
      <c r="G208" s="31" t="s">
        <v>35</v>
      </c>
      <c r="H208" s="31" t="s">
        <v>36</v>
      </c>
      <c r="I208" s="56" t="s">
        <v>101</v>
      </c>
      <c r="J208" s="31" t="s">
        <v>761</v>
      </c>
      <c r="K208" s="31" t="s">
        <v>762</v>
      </c>
      <c r="L208" s="31" t="s">
        <v>5</v>
      </c>
      <c r="M208" s="63">
        <v>44946</v>
      </c>
      <c r="N208" s="67">
        <v>562988</v>
      </c>
      <c r="O208" s="68"/>
      <c r="P208" s="69">
        <v>562988</v>
      </c>
      <c r="Q208" s="28" t="s">
        <v>865</v>
      </c>
      <c r="R208" s="29"/>
    </row>
    <row r="209" spans="1:18" x14ac:dyDescent="0.2">
      <c r="A209" s="31" t="s">
        <v>866</v>
      </c>
      <c r="B209" s="31" t="s">
        <v>30</v>
      </c>
      <c r="C209" s="36" t="s">
        <v>31</v>
      </c>
      <c r="D209" s="43" t="s">
        <v>867</v>
      </c>
      <c r="E209" s="31" t="s">
        <v>868</v>
      </c>
      <c r="F209" s="31" t="s">
        <v>869</v>
      </c>
      <c r="G209" s="31" t="s">
        <v>35</v>
      </c>
      <c r="H209" s="31" t="s">
        <v>36</v>
      </c>
      <c r="I209" s="56" t="s">
        <v>101</v>
      </c>
      <c r="J209" s="31" t="s">
        <v>761</v>
      </c>
      <c r="K209" s="31" t="s">
        <v>762</v>
      </c>
      <c r="L209" s="31" t="s">
        <v>5</v>
      </c>
      <c r="M209" s="63">
        <v>45030</v>
      </c>
      <c r="N209" s="67">
        <v>506607</v>
      </c>
      <c r="O209" s="68"/>
      <c r="P209" s="69">
        <v>506607</v>
      </c>
      <c r="Q209" s="28" t="s">
        <v>870</v>
      </c>
      <c r="R209" s="29"/>
    </row>
    <row r="210" spans="1:18" x14ac:dyDescent="0.2">
      <c r="A210" s="31" t="s">
        <v>871</v>
      </c>
      <c r="B210" s="31" t="s">
        <v>30</v>
      </c>
      <c r="C210" s="36" t="s">
        <v>31</v>
      </c>
      <c r="D210" s="31" t="s">
        <v>872</v>
      </c>
      <c r="E210" s="31" t="s">
        <v>873</v>
      </c>
      <c r="F210" s="31" t="s">
        <v>68</v>
      </c>
      <c r="G210" s="31" t="s">
        <v>35</v>
      </c>
      <c r="H210" s="31" t="s">
        <v>36</v>
      </c>
      <c r="I210" s="56" t="s">
        <v>101</v>
      </c>
      <c r="J210" s="31" t="s">
        <v>761</v>
      </c>
      <c r="K210" s="31" t="s">
        <v>762</v>
      </c>
      <c r="L210" s="31" t="s">
        <v>5</v>
      </c>
      <c r="M210" s="29">
        <v>45184</v>
      </c>
      <c r="N210" s="67">
        <v>4842967</v>
      </c>
      <c r="O210" s="68"/>
      <c r="P210" s="69">
        <v>4842967</v>
      </c>
      <c r="Q210" s="28" t="s">
        <v>874</v>
      </c>
      <c r="R210" s="29"/>
    </row>
    <row r="211" spans="1:18" x14ac:dyDescent="0.2">
      <c r="A211" s="31" t="s">
        <v>875</v>
      </c>
      <c r="B211" s="31" t="s">
        <v>30</v>
      </c>
      <c r="C211" s="36" t="s">
        <v>31</v>
      </c>
      <c r="D211" s="29" t="s">
        <v>876</v>
      </c>
      <c r="E211" s="31" t="s">
        <v>877</v>
      </c>
      <c r="F211" s="31" t="s">
        <v>307</v>
      </c>
      <c r="G211" s="31" t="s">
        <v>133</v>
      </c>
      <c r="H211" s="31" t="s">
        <v>36</v>
      </c>
      <c r="I211" s="56" t="s">
        <v>101</v>
      </c>
      <c r="J211" s="31" t="s">
        <v>262</v>
      </c>
      <c r="K211" s="31" t="s">
        <v>878</v>
      </c>
      <c r="L211" s="31" t="s">
        <v>5</v>
      </c>
      <c r="M211" s="63">
        <v>45152</v>
      </c>
      <c r="N211" s="67">
        <v>378071</v>
      </c>
      <c r="O211" s="68"/>
      <c r="P211" s="69">
        <v>378071</v>
      </c>
      <c r="Q211" s="28" t="s">
        <v>879</v>
      </c>
      <c r="R211" s="29"/>
    </row>
    <row r="212" spans="1:18" x14ac:dyDescent="0.2">
      <c r="A212" s="31" t="s">
        <v>880</v>
      </c>
      <c r="B212" s="31" t="s">
        <v>30</v>
      </c>
      <c r="C212" s="36" t="s">
        <v>31</v>
      </c>
      <c r="D212" s="29" t="s">
        <v>881</v>
      </c>
      <c r="E212" s="31" t="s">
        <v>882</v>
      </c>
      <c r="F212" s="31" t="s">
        <v>46</v>
      </c>
      <c r="G212" s="31" t="s">
        <v>35</v>
      </c>
      <c r="H212" s="31" t="s">
        <v>36</v>
      </c>
      <c r="I212" s="56" t="s">
        <v>101</v>
      </c>
      <c r="J212" s="31" t="s">
        <v>262</v>
      </c>
      <c r="K212" s="31" t="s">
        <v>878</v>
      </c>
      <c r="L212" s="31" t="s">
        <v>5</v>
      </c>
      <c r="M212" s="63">
        <v>45170</v>
      </c>
      <c r="N212" s="67">
        <v>97991</v>
      </c>
      <c r="O212" s="68"/>
      <c r="P212" s="69">
        <v>97991</v>
      </c>
      <c r="Q212" s="28" t="s">
        <v>883</v>
      </c>
      <c r="R212" s="29"/>
    </row>
    <row r="213" spans="1:18" x14ac:dyDescent="0.2">
      <c r="A213" s="31" t="s">
        <v>884</v>
      </c>
      <c r="B213" s="31" t="s">
        <v>30</v>
      </c>
      <c r="C213" s="36" t="s">
        <v>31</v>
      </c>
      <c r="D213" s="29" t="s">
        <v>885</v>
      </c>
      <c r="E213" s="31" t="s">
        <v>886</v>
      </c>
      <c r="F213" s="31" t="s">
        <v>46</v>
      </c>
      <c r="G213" s="31" t="s">
        <v>35</v>
      </c>
      <c r="H213" s="31" t="s">
        <v>36</v>
      </c>
      <c r="I213" s="56" t="s">
        <v>101</v>
      </c>
      <c r="J213" s="31" t="s">
        <v>262</v>
      </c>
      <c r="K213" s="31" t="s">
        <v>887</v>
      </c>
      <c r="L213" s="31" t="s">
        <v>5</v>
      </c>
      <c r="M213" s="63">
        <v>45184</v>
      </c>
      <c r="N213" s="67">
        <v>830537</v>
      </c>
      <c r="O213" s="68"/>
      <c r="P213" s="69">
        <v>830537</v>
      </c>
      <c r="Q213" s="28" t="s">
        <v>888</v>
      </c>
      <c r="R213" s="29"/>
    </row>
    <row r="214" spans="1:18" x14ac:dyDescent="0.2">
      <c r="A214" s="31" t="s">
        <v>889</v>
      </c>
      <c r="B214" s="31" t="s">
        <v>30</v>
      </c>
      <c r="C214" s="36" t="s">
        <v>31</v>
      </c>
      <c r="D214" s="29" t="s">
        <v>890</v>
      </c>
      <c r="E214" s="31" t="s">
        <v>891</v>
      </c>
      <c r="F214" s="31" t="s">
        <v>552</v>
      </c>
      <c r="G214" s="31" t="s">
        <v>35</v>
      </c>
      <c r="H214" s="31" t="s">
        <v>36</v>
      </c>
      <c r="I214" s="56" t="s">
        <v>101</v>
      </c>
      <c r="J214" s="31" t="s">
        <v>761</v>
      </c>
      <c r="K214" s="31" t="s">
        <v>762</v>
      </c>
      <c r="L214" s="31" t="s">
        <v>5</v>
      </c>
      <c r="M214" s="63">
        <v>45275</v>
      </c>
      <c r="N214" s="67">
        <v>99749</v>
      </c>
      <c r="O214" s="68"/>
      <c r="P214" s="69">
        <v>99749</v>
      </c>
      <c r="Q214" s="28" t="s">
        <v>892</v>
      </c>
      <c r="R214" s="29"/>
    </row>
    <row r="215" spans="1:18" x14ac:dyDescent="0.2">
      <c r="A215" s="31" t="s">
        <v>893</v>
      </c>
      <c r="B215" s="31" t="s">
        <v>30</v>
      </c>
      <c r="C215" s="36" t="s">
        <v>31</v>
      </c>
      <c r="D215" s="29" t="s">
        <v>894</v>
      </c>
      <c r="E215" s="31" t="s">
        <v>895</v>
      </c>
      <c r="F215" s="31" t="s">
        <v>55</v>
      </c>
      <c r="G215" s="31" t="s">
        <v>56</v>
      </c>
      <c r="H215" s="31" t="s">
        <v>36</v>
      </c>
      <c r="I215" s="56" t="s">
        <v>101</v>
      </c>
      <c r="J215" s="31" t="s">
        <v>262</v>
      </c>
      <c r="K215" s="31" t="s">
        <v>878</v>
      </c>
      <c r="L215" s="31" t="s">
        <v>5</v>
      </c>
      <c r="M215" s="63">
        <v>45215</v>
      </c>
      <c r="N215" s="67">
        <v>99090</v>
      </c>
      <c r="O215" s="68"/>
      <c r="P215" s="69">
        <v>99090</v>
      </c>
      <c r="Q215" s="28" t="s">
        <v>896</v>
      </c>
      <c r="R215" s="29"/>
    </row>
    <row r="216" spans="1:18" x14ac:dyDescent="0.2">
      <c r="A216" s="31" t="s">
        <v>897</v>
      </c>
      <c r="B216" s="31" t="s">
        <v>30</v>
      </c>
      <c r="C216" s="36" t="s">
        <v>31</v>
      </c>
      <c r="D216" s="29" t="s">
        <v>898</v>
      </c>
      <c r="E216" s="31" t="s">
        <v>316</v>
      </c>
      <c r="F216" s="31" t="s">
        <v>132</v>
      </c>
      <c r="G216" s="31" t="s">
        <v>133</v>
      </c>
      <c r="H216" s="31" t="s">
        <v>36</v>
      </c>
      <c r="I216" s="56" t="s">
        <v>101</v>
      </c>
      <c r="J216" s="31" t="s">
        <v>899</v>
      </c>
      <c r="K216" s="31" t="s">
        <v>762</v>
      </c>
      <c r="L216" s="31" t="s">
        <v>5</v>
      </c>
      <c r="M216" s="29"/>
      <c r="N216" s="67">
        <v>2959071</v>
      </c>
      <c r="O216" s="68"/>
      <c r="P216" s="69">
        <v>2959071</v>
      </c>
      <c r="Q216" s="28" t="s">
        <v>900</v>
      </c>
      <c r="R216" s="29"/>
    </row>
    <row r="217" spans="1:18" x14ac:dyDescent="0.2">
      <c r="A217" s="31" t="s">
        <v>901</v>
      </c>
      <c r="B217" s="31" t="s">
        <v>30</v>
      </c>
      <c r="C217" s="36" t="s">
        <v>31</v>
      </c>
      <c r="D217" s="29" t="s">
        <v>902</v>
      </c>
      <c r="E217" s="31" t="s">
        <v>903</v>
      </c>
      <c r="F217" s="31" t="s">
        <v>904</v>
      </c>
      <c r="G217" s="31" t="s">
        <v>133</v>
      </c>
      <c r="H217" s="31" t="s">
        <v>36</v>
      </c>
      <c r="I217" s="56" t="s">
        <v>101</v>
      </c>
      <c r="J217" s="31" t="s">
        <v>899</v>
      </c>
      <c r="K217" s="31" t="s">
        <v>762</v>
      </c>
      <c r="L217" s="31" t="s">
        <v>5</v>
      </c>
      <c r="M217" s="29"/>
      <c r="N217" s="67">
        <v>2953025</v>
      </c>
      <c r="O217" s="68"/>
      <c r="P217" s="69">
        <v>2953025</v>
      </c>
      <c r="Q217" s="28" t="s">
        <v>905</v>
      </c>
      <c r="R217" s="29"/>
    </row>
    <row r="218" spans="1:18" x14ac:dyDescent="0.2">
      <c r="A218" s="31" t="s">
        <v>906</v>
      </c>
      <c r="B218" s="31" t="s">
        <v>30</v>
      </c>
      <c r="C218" s="36" t="s">
        <v>31</v>
      </c>
      <c r="D218" s="29" t="s">
        <v>907</v>
      </c>
      <c r="E218" s="31" t="s">
        <v>91</v>
      </c>
      <c r="F218" s="31" t="s">
        <v>55</v>
      </c>
      <c r="G218" s="31" t="s">
        <v>56</v>
      </c>
      <c r="H218" s="31" t="s">
        <v>36</v>
      </c>
      <c r="I218" s="56" t="s">
        <v>95</v>
      </c>
      <c r="J218" s="31" t="s">
        <v>899</v>
      </c>
      <c r="K218" s="31" t="s">
        <v>762</v>
      </c>
      <c r="L218" s="31" t="s">
        <v>5</v>
      </c>
      <c r="M218" s="29"/>
      <c r="N218" s="67">
        <v>2870758</v>
      </c>
      <c r="O218" s="68"/>
      <c r="P218" s="69">
        <v>2870758</v>
      </c>
      <c r="Q218" s="28" t="s">
        <v>908</v>
      </c>
      <c r="R218" s="29"/>
    </row>
    <row r="219" spans="1:18" x14ac:dyDescent="0.2">
      <c r="A219" s="31" t="s">
        <v>909</v>
      </c>
      <c r="B219" s="31" t="s">
        <v>30</v>
      </c>
      <c r="C219" s="36" t="s">
        <v>31</v>
      </c>
      <c r="D219" s="29" t="s">
        <v>910</v>
      </c>
      <c r="E219" s="31" t="s">
        <v>564</v>
      </c>
      <c r="F219" s="31" t="s">
        <v>100</v>
      </c>
      <c r="G219" s="31" t="s">
        <v>35</v>
      </c>
      <c r="H219" s="31" t="s">
        <v>36</v>
      </c>
      <c r="I219" s="56" t="s">
        <v>101</v>
      </c>
      <c r="J219" s="31" t="s">
        <v>899</v>
      </c>
      <c r="K219" s="31" t="s">
        <v>762</v>
      </c>
      <c r="L219" s="31" t="s">
        <v>5</v>
      </c>
      <c r="M219" s="29"/>
      <c r="N219" s="67">
        <v>2871124</v>
      </c>
      <c r="O219" s="68"/>
      <c r="P219" s="69">
        <v>2871124</v>
      </c>
      <c r="Q219" s="28" t="s">
        <v>911</v>
      </c>
      <c r="R219" s="29"/>
    </row>
    <row r="220" spans="1:18" x14ac:dyDescent="0.2">
      <c r="A220" s="31" t="s">
        <v>912</v>
      </c>
      <c r="B220" s="31" t="s">
        <v>30</v>
      </c>
      <c r="C220" s="36" t="s">
        <v>31</v>
      </c>
      <c r="D220" s="29" t="s">
        <v>913</v>
      </c>
      <c r="E220" s="31" t="s">
        <v>316</v>
      </c>
      <c r="F220" s="31" t="s">
        <v>132</v>
      </c>
      <c r="G220" s="31" t="s">
        <v>133</v>
      </c>
      <c r="H220" s="31" t="s">
        <v>36</v>
      </c>
      <c r="I220" s="56" t="s">
        <v>101</v>
      </c>
      <c r="J220" s="31" t="s">
        <v>899</v>
      </c>
      <c r="K220" s="31" t="s">
        <v>762</v>
      </c>
      <c r="L220" s="31" t="s">
        <v>5</v>
      </c>
      <c r="M220" s="29"/>
      <c r="N220" s="67">
        <v>2947618</v>
      </c>
      <c r="O220" s="68"/>
      <c r="P220" s="69">
        <v>2947618</v>
      </c>
      <c r="Q220" s="28" t="s">
        <v>914</v>
      </c>
      <c r="R220" s="29"/>
    </row>
    <row r="221" spans="1:18" x14ac:dyDescent="0.2">
      <c r="A221" s="31" t="s">
        <v>915</v>
      </c>
      <c r="B221" s="31" t="s">
        <v>30</v>
      </c>
      <c r="C221" s="36" t="s">
        <v>31</v>
      </c>
      <c r="D221" s="31" t="s">
        <v>916</v>
      </c>
      <c r="E221" s="31" t="s">
        <v>917</v>
      </c>
      <c r="F221" s="31" t="s">
        <v>237</v>
      </c>
      <c r="G221" s="31" t="s">
        <v>35</v>
      </c>
      <c r="H221" s="31" t="s">
        <v>36</v>
      </c>
      <c r="I221" s="56" t="s">
        <v>95</v>
      </c>
      <c r="J221" s="31" t="s">
        <v>899</v>
      </c>
      <c r="K221" s="31" t="s">
        <v>762</v>
      </c>
      <c r="L221" s="31" t="s">
        <v>5</v>
      </c>
      <c r="M221" s="29"/>
      <c r="N221" s="67">
        <v>3036502</v>
      </c>
      <c r="O221" s="68"/>
      <c r="P221" s="69">
        <v>3036502</v>
      </c>
      <c r="Q221" s="28" t="s">
        <v>918</v>
      </c>
      <c r="R221" s="29"/>
    </row>
    <row r="222" spans="1:18" x14ac:dyDescent="0.2">
      <c r="A222" s="31" t="s">
        <v>919</v>
      </c>
      <c r="B222" s="31" t="s">
        <v>30</v>
      </c>
      <c r="C222" s="36" t="s">
        <v>31</v>
      </c>
      <c r="D222" s="29" t="s">
        <v>920</v>
      </c>
      <c r="E222" s="31" t="s">
        <v>921</v>
      </c>
      <c r="F222" s="31" t="s">
        <v>55</v>
      </c>
      <c r="G222" s="31" t="s">
        <v>56</v>
      </c>
      <c r="H222" s="31" t="s">
        <v>36</v>
      </c>
      <c r="I222" s="56" t="s">
        <v>101</v>
      </c>
      <c r="J222" s="31" t="s">
        <v>262</v>
      </c>
      <c r="K222" s="31" t="s">
        <v>39</v>
      </c>
      <c r="L222" s="31" t="s">
        <v>5</v>
      </c>
      <c r="M222" s="29"/>
      <c r="N222" s="67">
        <v>404971</v>
      </c>
      <c r="O222" s="68"/>
      <c r="P222" s="69">
        <v>404971</v>
      </c>
      <c r="Q222" s="28" t="s">
        <v>922</v>
      </c>
      <c r="R222" s="29"/>
    </row>
    <row r="223" spans="1:18" ht="16" x14ac:dyDescent="0.2">
      <c r="A223" s="60" t="s">
        <v>923</v>
      </c>
      <c r="B223" s="31" t="s">
        <v>30</v>
      </c>
      <c r="C223" s="31" t="s">
        <v>924</v>
      </c>
      <c r="D223" s="60" t="s">
        <v>925</v>
      </c>
      <c r="E223" s="60" t="s">
        <v>582</v>
      </c>
      <c r="H223" s="60" t="s">
        <v>36</v>
      </c>
      <c r="I223" s="62" t="s">
        <v>582</v>
      </c>
      <c r="N223" s="64">
        <v>59550</v>
      </c>
      <c r="O223" s="64">
        <v>59550</v>
      </c>
      <c r="P223" s="64">
        <v>59550</v>
      </c>
    </row>
    <row r="224" spans="1:18" ht="16" x14ac:dyDescent="0.2">
      <c r="A224" s="60" t="s">
        <v>926</v>
      </c>
      <c r="B224" s="31" t="s">
        <v>30</v>
      </c>
      <c r="C224" s="31" t="s">
        <v>924</v>
      </c>
      <c r="D224" s="60" t="s">
        <v>927</v>
      </c>
      <c r="E224" s="60" t="s">
        <v>928</v>
      </c>
      <c r="H224" s="60" t="s">
        <v>36</v>
      </c>
      <c r="I224" s="62" t="s">
        <v>582</v>
      </c>
      <c r="N224" s="64">
        <v>121340</v>
      </c>
      <c r="O224" s="64">
        <v>121340</v>
      </c>
      <c r="P224" s="64">
        <v>121340</v>
      </c>
    </row>
    <row r="225" spans="1:16" ht="16" x14ac:dyDescent="0.2">
      <c r="A225" s="60" t="s">
        <v>929</v>
      </c>
      <c r="B225" s="31" t="s">
        <v>30</v>
      </c>
      <c r="C225" s="31" t="s">
        <v>924</v>
      </c>
      <c r="D225" s="60" t="s">
        <v>930</v>
      </c>
      <c r="E225" s="60" t="s">
        <v>931</v>
      </c>
      <c r="H225" s="60" t="s">
        <v>36</v>
      </c>
      <c r="I225" s="62" t="s">
        <v>582</v>
      </c>
      <c r="N225" s="64">
        <v>11050</v>
      </c>
      <c r="O225" s="64">
        <v>11050</v>
      </c>
      <c r="P225" s="64">
        <v>11050</v>
      </c>
    </row>
    <row r="226" spans="1:16" ht="16" x14ac:dyDescent="0.2">
      <c r="A226" s="60" t="s">
        <v>932</v>
      </c>
      <c r="B226" s="31" t="s">
        <v>30</v>
      </c>
      <c r="C226" s="31" t="s">
        <v>924</v>
      </c>
      <c r="D226" s="60" t="s">
        <v>933</v>
      </c>
      <c r="E226" s="60" t="s">
        <v>934</v>
      </c>
      <c r="H226" s="60" t="s">
        <v>36</v>
      </c>
      <c r="I226" s="62" t="s">
        <v>582</v>
      </c>
      <c r="N226" s="64">
        <v>1000000</v>
      </c>
      <c r="O226" s="64">
        <v>1000000</v>
      </c>
      <c r="P226" s="64">
        <v>1000000</v>
      </c>
    </row>
    <row r="227" spans="1:16" ht="16" x14ac:dyDescent="0.2">
      <c r="A227" s="60" t="s">
        <v>935</v>
      </c>
      <c r="B227" s="31" t="s">
        <v>30</v>
      </c>
      <c r="C227" s="31" t="s">
        <v>924</v>
      </c>
      <c r="D227" s="60" t="s">
        <v>936</v>
      </c>
      <c r="E227" s="60" t="s">
        <v>937</v>
      </c>
      <c r="H227" s="60" t="s">
        <v>36</v>
      </c>
      <c r="I227" s="62" t="s">
        <v>582</v>
      </c>
      <c r="N227" s="65">
        <v>87452.12</v>
      </c>
      <c r="O227" s="65">
        <v>87452.12</v>
      </c>
      <c r="P227" s="65">
        <v>87452.12</v>
      </c>
    </row>
    <row r="228" spans="1:16" ht="16" x14ac:dyDescent="0.2">
      <c r="A228" s="60" t="s">
        <v>938</v>
      </c>
      <c r="B228" s="31" t="s">
        <v>30</v>
      </c>
      <c r="C228" s="31" t="s">
        <v>924</v>
      </c>
      <c r="D228" s="60" t="s">
        <v>939</v>
      </c>
      <c r="E228" s="60" t="s">
        <v>940</v>
      </c>
      <c r="N228" s="65">
        <v>6310.56</v>
      </c>
      <c r="O228" s="65">
        <v>6310.56</v>
      </c>
      <c r="P228" s="65">
        <v>6310.56</v>
      </c>
    </row>
    <row r="229" spans="1:16" ht="16" x14ac:dyDescent="0.2">
      <c r="A229" s="61" t="s">
        <v>941</v>
      </c>
      <c r="B229" s="31" t="s">
        <v>30</v>
      </c>
      <c r="C229" s="31" t="s">
        <v>924</v>
      </c>
      <c r="D229" s="61" t="s">
        <v>942</v>
      </c>
      <c r="E229" s="61" t="s">
        <v>548</v>
      </c>
      <c r="H229" s="60" t="s">
        <v>36</v>
      </c>
      <c r="I229" s="62" t="s">
        <v>582</v>
      </c>
      <c r="N229" s="66">
        <v>82960.61</v>
      </c>
      <c r="O229" s="66">
        <v>82960.61</v>
      </c>
      <c r="P229" s="66">
        <v>82960.61</v>
      </c>
    </row>
    <row r="230" spans="1:16" ht="16" x14ac:dyDescent="0.2">
      <c r="A230" s="60" t="s">
        <v>943</v>
      </c>
      <c r="B230" s="31" t="s">
        <v>30</v>
      </c>
      <c r="C230" s="31" t="s">
        <v>924</v>
      </c>
      <c r="D230" s="60" t="s">
        <v>944</v>
      </c>
      <c r="E230" s="60" t="s">
        <v>945</v>
      </c>
      <c r="H230" s="60" t="s">
        <v>36</v>
      </c>
      <c r="I230" s="62" t="s">
        <v>582</v>
      </c>
      <c r="N230" s="64">
        <v>100000</v>
      </c>
      <c r="O230" s="64">
        <v>100000</v>
      </c>
      <c r="P230" s="64">
        <v>100000</v>
      </c>
    </row>
    <row r="231" spans="1:16" ht="16" x14ac:dyDescent="0.2">
      <c r="A231" s="60" t="s">
        <v>946</v>
      </c>
      <c r="B231" s="31" t="s">
        <v>30</v>
      </c>
      <c r="C231" s="31" t="s">
        <v>924</v>
      </c>
      <c r="D231" s="60" t="s">
        <v>947</v>
      </c>
      <c r="E231" s="60" t="s">
        <v>948</v>
      </c>
      <c r="H231" s="60" t="s">
        <v>609</v>
      </c>
      <c r="I231" s="62" t="s">
        <v>582</v>
      </c>
      <c r="N231" s="65">
        <v>124804.41</v>
      </c>
      <c r="O231" s="65">
        <v>124804.41</v>
      </c>
      <c r="P231" s="65">
        <v>124804.41</v>
      </c>
    </row>
    <row r="232" spans="1:16" ht="16" x14ac:dyDescent="0.2">
      <c r="A232" s="60" t="s">
        <v>949</v>
      </c>
      <c r="B232" s="31" t="s">
        <v>30</v>
      </c>
      <c r="C232" s="31" t="s">
        <v>924</v>
      </c>
      <c r="D232" s="60" t="s">
        <v>925</v>
      </c>
      <c r="E232" s="60" t="s">
        <v>582</v>
      </c>
      <c r="H232" s="60" t="s">
        <v>36</v>
      </c>
      <c r="I232" s="62" t="s">
        <v>582</v>
      </c>
      <c r="N232" s="64">
        <v>59550</v>
      </c>
      <c r="O232" s="64">
        <v>59550</v>
      </c>
      <c r="P232" s="64">
        <v>59550</v>
      </c>
    </row>
    <row r="233" spans="1:16" ht="16" x14ac:dyDescent="0.2">
      <c r="A233" s="60" t="s">
        <v>950</v>
      </c>
      <c r="B233" s="31" t="s">
        <v>30</v>
      </c>
      <c r="C233" s="31" t="s">
        <v>924</v>
      </c>
      <c r="D233" s="60" t="s">
        <v>951</v>
      </c>
      <c r="E233" s="60" t="s">
        <v>940</v>
      </c>
      <c r="H233" s="60" t="s">
        <v>36</v>
      </c>
      <c r="I233" s="62" t="s">
        <v>582</v>
      </c>
      <c r="N233" s="65">
        <v>180969.27</v>
      </c>
      <c r="O233" s="65">
        <v>180969.27</v>
      </c>
      <c r="P233" s="65">
        <v>180969.27</v>
      </c>
    </row>
    <row r="234" spans="1:16" ht="16" x14ac:dyDescent="0.2">
      <c r="A234" s="60" t="s">
        <v>952</v>
      </c>
      <c r="B234" s="31" t="s">
        <v>30</v>
      </c>
      <c r="C234" s="31" t="s">
        <v>924</v>
      </c>
      <c r="D234" s="60" t="s">
        <v>953</v>
      </c>
      <c r="E234" s="60" t="s">
        <v>582</v>
      </c>
      <c r="H234" s="60" t="s">
        <v>36</v>
      </c>
      <c r="I234" s="62" t="s">
        <v>582</v>
      </c>
      <c r="N234" s="64">
        <v>80000</v>
      </c>
      <c r="O234" s="64">
        <v>80000</v>
      </c>
      <c r="P234" s="64">
        <v>80000</v>
      </c>
    </row>
    <row r="235" spans="1:16" ht="16" x14ac:dyDescent="0.2">
      <c r="A235" s="60" t="s">
        <v>954</v>
      </c>
      <c r="B235" s="31" t="s">
        <v>30</v>
      </c>
      <c r="C235" s="31" t="s">
        <v>924</v>
      </c>
      <c r="D235" s="60" t="s">
        <v>955</v>
      </c>
      <c r="E235" s="60" t="s">
        <v>956</v>
      </c>
      <c r="H235" s="60" t="s">
        <v>36</v>
      </c>
      <c r="I235" s="62" t="s">
        <v>582</v>
      </c>
      <c r="N235" s="65">
        <v>124907.5</v>
      </c>
      <c r="O235" s="65">
        <v>124907.5</v>
      </c>
      <c r="P235" s="65">
        <v>124907.5</v>
      </c>
    </row>
    <row r="236" spans="1:16" ht="15" customHeight="1" x14ac:dyDescent="0.2">
      <c r="A236" s="60" t="s">
        <v>957</v>
      </c>
      <c r="B236" s="31" t="s">
        <v>30</v>
      </c>
      <c r="C236" s="31" t="s">
        <v>924</v>
      </c>
      <c r="D236" s="60" t="s">
        <v>958</v>
      </c>
      <c r="E236" s="60" t="s">
        <v>959</v>
      </c>
      <c r="H236" s="60" t="s">
        <v>36</v>
      </c>
      <c r="I236" s="62" t="s">
        <v>582</v>
      </c>
      <c r="N236" s="64">
        <v>859295</v>
      </c>
      <c r="O236" s="64">
        <v>859295</v>
      </c>
      <c r="P236" s="64">
        <v>859295</v>
      </c>
    </row>
    <row r="237" spans="1:16" ht="16" x14ac:dyDescent="0.2">
      <c r="A237" s="60" t="s">
        <v>960</v>
      </c>
      <c r="B237" s="31" t="s">
        <v>30</v>
      </c>
      <c r="C237" s="31" t="s">
        <v>924</v>
      </c>
      <c r="D237" s="60" t="s">
        <v>961</v>
      </c>
      <c r="E237" s="60" t="s">
        <v>962</v>
      </c>
      <c r="H237" s="60" t="s">
        <v>36</v>
      </c>
      <c r="I237" s="62" t="s">
        <v>582</v>
      </c>
      <c r="N237" s="64">
        <v>1775990</v>
      </c>
      <c r="O237" s="64">
        <v>1775990</v>
      </c>
      <c r="P237" s="64">
        <v>1775990</v>
      </c>
    </row>
    <row r="238" spans="1:16" ht="16" x14ac:dyDescent="0.2">
      <c r="A238" s="60" t="s">
        <v>963</v>
      </c>
      <c r="B238" s="31" t="s">
        <v>30</v>
      </c>
      <c r="C238" s="31" t="s">
        <v>924</v>
      </c>
      <c r="D238" s="60" t="s">
        <v>964</v>
      </c>
      <c r="E238" s="60" t="s">
        <v>965</v>
      </c>
      <c r="H238" s="60" t="s">
        <v>36</v>
      </c>
      <c r="I238" s="62" t="s">
        <v>582</v>
      </c>
      <c r="N238" s="64">
        <v>59910</v>
      </c>
      <c r="O238" s="64">
        <v>59910</v>
      </c>
      <c r="P238" s="64">
        <v>59910</v>
      </c>
    </row>
    <row r="239" spans="1:16" ht="16" x14ac:dyDescent="0.2">
      <c r="A239" s="60" t="s">
        <v>966</v>
      </c>
      <c r="B239" s="31" t="s">
        <v>30</v>
      </c>
      <c r="C239" s="31" t="s">
        <v>924</v>
      </c>
      <c r="D239" s="60" t="s">
        <v>967</v>
      </c>
      <c r="E239" s="60" t="s">
        <v>934</v>
      </c>
      <c r="H239" s="60" t="s">
        <v>968</v>
      </c>
      <c r="I239" s="62" t="s">
        <v>582</v>
      </c>
      <c r="N239" s="64">
        <v>1661300</v>
      </c>
      <c r="O239" s="64">
        <v>1661300</v>
      </c>
      <c r="P239" s="64">
        <v>1661300</v>
      </c>
    </row>
    <row r="240" spans="1:16" ht="16" x14ac:dyDescent="0.2">
      <c r="A240" s="60" t="s">
        <v>969</v>
      </c>
      <c r="B240" s="31" t="s">
        <v>30</v>
      </c>
      <c r="C240" s="31" t="s">
        <v>924</v>
      </c>
      <c r="D240" s="60" t="s">
        <v>970</v>
      </c>
      <c r="E240" s="60" t="s">
        <v>971</v>
      </c>
      <c r="H240" s="60" t="s">
        <v>36</v>
      </c>
      <c r="I240" s="62" t="s">
        <v>582</v>
      </c>
      <c r="N240" s="65">
        <v>52237.5</v>
      </c>
      <c r="O240" s="65">
        <v>52237.5</v>
      </c>
      <c r="P240" s="65">
        <v>52237.5</v>
      </c>
    </row>
    <row r="241" spans="1:16" ht="16" x14ac:dyDescent="0.2">
      <c r="A241" s="60" t="s">
        <v>972</v>
      </c>
      <c r="B241" s="31" t="s">
        <v>30</v>
      </c>
      <c r="C241" s="31" t="s">
        <v>924</v>
      </c>
      <c r="D241" s="60" t="s">
        <v>973</v>
      </c>
      <c r="E241" s="60" t="s">
        <v>674</v>
      </c>
      <c r="H241" s="60" t="s">
        <v>36</v>
      </c>
      <c r="I241" s="62" t="s">
        <v>582</v>
      </c>
      <c r="N241" s="64">
        <v>21805</v>
      </c>
      <c r="O241" s="64">
        <v>21805</v>
      </c>
      <c r="P241" s="64">
        <v>21805</v>
      </c>
    </row>
    <row r="242" spans="1:16" ht="16" x14ac:dyDescent="0.2">
      <c r="A242" s="60" t="s">
        <v>974</v>
      </c>
      <c r="B242" s="31" t="s">
        <v>30</v>
      </c>
      <c r="C242" s="31" t="s">
        <v>924</v>
      </c>
      <c r="D242" s="60" t="s">
        <v>975</v>
      </c>
      <c r="E242" s="60" t="s">
        <v>976</v>
      </c>
      <c r="H242" s="60" t="s">
        <v>36</v>
      </c>
      <c r="I242" s="62" t="s">
        <v>582</v>
      </c>
      <c r="N242" s="64">
        <v>661698</v>
      </c>
      <c r="O242" s="64">
        <v>661698</v>
      </c>
      <c r="P242" s="64">
        <v>661698</v>
      </c>
    </row>
    <row r="243" spans="1:16" ht="16" x14ac:dyDescent="0.2">
      <c r="A243" s="60" t="s">
        <v>977</v>
      </c>
      <c r="B243" s="31" t="s">
        <v>30</v>
      </c>
      <c r="C243" s="31" t="s">
        <v>924</v>
      </c>
      <c r="D243" s="60" t="s">
        <v>978</v>
      </c>
      <c r="E243" s="60" t="s">
        <v>965</v>
      </c>
      <c r="H243" s="60" t="s">
        <v>36</v>
      </c>
      <c r="I243" s="62" t="s">
        <v>582</v>
      </c>
      <c r="N243" s="64">
        <v>20000</v>
      </c>
      <c r="O243" s="64">
        <v>20000</v>
      </c>
      <c r="P243" s="64">
        <v>20000</v>
      </c>
    </row>
    <row r="244" spans="1:16" ht="16" x14ac:dyDescent="0.2">
      <c r="A244" s="60" t="s">
        <v>979</v>
      </c>
      <c r="B244" s="31" t="s">
        <v>30</v>
      </c>
      <c r="C244" s="31" t="s">
        <v>924</v>
      </c>
      <c r="D244" s="60" t="s">
        <v>980</v>
      </c>
      <c r="E244" s="60" t="s">
        <v>981</v>
      </c>
      <c r="H244" s="60" t="s">
        <v>36</v>
      </c>
      <c r="I244" s="62" t="s">
        <v>582</v>
      </c>
      <c r="N244" s="64">
        <v>350000</v>
      </c>
      <c r="O244" s="64">
        <v>350000</v>
      </c>
      <c r="P244" s="64">
        <v>350000</v>
      </c>
    </row>
    <row r="245" spans="1:16" ht="16" x14ac:dyDescent="0.2">
      <c r="A245" s="50" t="s">
        <v>982</v>
      </c>
      <c r="B245" s="31" t="s">
        <v>30</v>
      </c>
      <c r="C245" s="31" t="s">
        <v>924</v>
      </c>
      <c r="D245" s="50" t="s">
        <v>983</v>
      </c>
      <c r="E245" s="50" t="s">
        <v>984</v>
      </c>
      <c r="H245" s="60" t="s">
        <v>36</v>
      </c>
      <c r="I245" s="62" t="s">
        <v>582</v>
      </c>
      <c r="N245" s="55">
        <v>7956.52</v>
      </c>
      <c r="O245" s="55">
        <v>7956.52</v>
      </c>
      <c r="P245" s="55">
        <v>7956.52</v>
      </c>
    </row>
    <row r="246" spans="1:16" ht="16" x14ac:dyDescent="0.2">
      <c r="A246" s="50" t="s">
        <v>985</v>
      </c>
      <c r="B246" s="31" t="s">
        <v>30</v>
      </c>
      <c r="C246" s="31" t="s">
        <v>924</v>
      </c>
      <c r="D246" s="50" t="s">
        <v>986</v>
      </c>
      <c r="E246" s="50" t="s">
        <v>987</v>
      </c>
      <c r="H246" s="60" t="s">
        <v>36</v>
      </c>
      <c r="I246" s="62" t="s">
        <v>582</v>
      </c>
      <c r="N246" s="54">
        <v>70000</v>
      </c>
      <c r="O246" s="54">
        <v>70000</v>
      </c>
      <c r="P246" s="54">
        <v>70000</v>
      </c>
    </row>
    <row r="247" spans="1:16" ht="16" x14ac:dyDescent="0.2">
      <c r="A247" s="50" t="s">
        <v>988</v>
      </c>
      <c r="B247" s="31" t="s">
        <v>30</v>
      </c>
      <c r="C247" s="31" t="s">
        <v>924</v>
      </c>
      <c r="D247" s="50" t="s">
        <v>989</v>
      </c>
      <c r="E247" s="50" t="s">
        <v>962</v>
      </c>
      <c r="H247" s="43" t="s">
        <v>36</v>
      </c>
      <c r="I247" s="62" t="s">
        <v>582</v>
      </c>
      <c r="N247" s="54">
        <v>1936640</v>
      </c>
      <c r="O247" s="54">
        <v>1936640</v>
      </c>
      <c r="P247" s="54">
        <v>1936640</v>
      </c>
    </row>
    <row r="248" spans="1:16" ht="16" x14ac:dyDescent="0.2">
      <c r="A248" s="50" t="s">
        <v>990</v>
      </c>
      <c r="B248" s="31" t="s">
        <v>30</v>
      </c>
      <c r="C248" s="31" t="s">
        <v>924</v>
      </c>
      <c r="D248" s="50" t="s">
        <v>991</v>
      </c>
      <c r="E248" s="50" t="s">
        <v>962</v>
      </c>
      <c r="H248" s="43" t="s">
        <v>36</v>
      </c>
      <c r="I248" s="62" t="s">
        <v>582</v>
      </c>
      <c r="N248" s="54">
        <v>1936640</v>
      </c>
      <c r="O248" s="54">
        <v>1936640</v>
      </c>
      <c r="P248" s="54">
        <v>1936640</v>
      </c>
    </row>
    <row r="249" spans="1:16" ht="16" x14ac:dyDescent="0.2">
      <c r="A249" s="50" t="s">
        <v>992</v>
      </c>
      <c r="B249" s="31" t="s">
        <v>30</v>
      </c>
      <c r="C249" s="31" t="s">
        <v>924</v>
      </c>
      <c r="D249" s="50" t="s">
        <v>993</v>
      </c>
      <c r="E249" s="50" t="s">
        <v>994</v>
      </c>
      <c r="H249" s="50" t="s">
        <v>36</v>
      </c>
      <c r="I249" s="62" t="s">
        <v>582</v>
      </c>
      <c r="N249" s="55">
        <v>328653.03999999998</v>
      </c>
      <c r="O249" s="55">
        <v>328653.03999999998</v>
      </c>
      <c r="P249" s="55">
        <v>328653.03999999998</v>
      </c>
    </row>
    <row r="250" spans="1:16" x14ac:dyDescent="0.2">
      <c r="A250" s="57"/>
      <c r="B250" s="31" t="s">
        <v>924</v>
      </c>
      <c r="C250" s="31" t="s">
        <v>924</v>
      </c>
      <c r="D250" s="57" t="s">
        <v>995</v>
      </c>
      <c r="E250" s="57"/>
      <c r="H250" s="43" t="s">
        <v>36</v>
      </c>
      <c r="I250" s="62" t="s">
        <v>582</v>
      </c>
      <c r="N250" s="59">
        <v>980887</v>
      </c>
      <c r="O250" s="59">
        <v>980887</v>
      </c>
      <c r="P250" s="59">
        <v>980887</v>
      </c>
    </row>
    <row r="251" spans="1:16" x14ac:dyDescent="0.2">
      <c r="A251" s="57"/>
      <c r="B251" s="31" t="s">
        <v>924</v>
      </c>
      <c r="C251" s="31" t="s">
        <v>924</v>
      </c>
      <c r="D251" s="57" t="s">
        <v>996</v>
      </c>
      <c r="E251" s="57"/>
      <c r="H251" s="43" t="s">
        <v>36</v>
      </c>
      <c r="I251" s="62" t="s">
        <v>582</v>
      </c>
      <c r="N251" s="59">
        <v>826999</v>
      </c>
      <c r="O251" s="59">
        <v>826999</v>
      </c>
      <c r="P251" s="59">
        <v>826999</v>
      </c>
    </row>
    <row r="252" spans="1:16" x14ac:dyDescent="0.2">
      <c r="A252" s="57"/>
      <c r="B252" s="31" t="s">
        <v>924</v>
      </c>
      <c r="C252" s="31" t="s">
        <v>924</v>
      </c>
      <c r="D252" s="57" t="s">
        <v>997</v>
      </c>
      <c r="E252" s="57"/>
      <c r="H252" s="43" t="s">
        <v>36</v>
      </c>
      <c r="I252" s="62" t="s">
        <v>582</v>
      </c>
      <c r="N252" s="59">
        <v>722782</v>
      </c>
      <c r="O252" s="59">
        <v>722782</v>
      </c>
      <c r="P252" s="59">
        <v>722782</v>
      </c>
    </row>
    <row r="253" spans="1:16" x14ac:dyDescent="0.2">
      <c r="A253" s="57"/>
      <c r="B253" s="31" t="s">
        <v>924</v>
      </c>
      <c r="C253" s="31" t="s">
        <v>924</v>
      </c>
      <c r="D253" s="57" t="s">
        <v>998</v>
      </c>
      <c r="E253" s="57"/>
      <c r="H253" s="43" t="s">
        <v>36</v>
      </c>
      <c r="I253" s="62" t="s">
        <v>582</v>
      </c>
      <c r="N253" s="59">
        <v>1188149</v>
      </c>
      <c r="O253" s="59">
        <v>1188149</v>
      </c>
      <c r="P253" s="59">
        <v>1188149</v>
      </c>
    </row>
    <row r="254" spans="1:16" x14ac:dyDescent="0.2">
      <c r="A254" s="57"/>
      <c r="B254" s="31" t="s">
        <v>924</v>
      </c>
      <c r="C254" s="31" t="s">
        <v>924</v>
      </c>
      <c r="D254" s="57" t="s">
        <v>999</v>
      </c>
      <c r="E254" s="57"/>
      <c r="H254" s="43" t="s">
        <v>36</v>
      </c>
      <c r="I254" s="62" t="s">
        <v>582</v>
      </c>
      <c r="N254" s="59">
        <v>21850</v>
      </c>
      <c r="O254" s="59">
        <v>21850</v>
      </c>
      <c r="P254" s="59">
        <v>21850</v>
      </c>
    </row>
    <row r="255" spans="1:16" x14ac:dyDescent="0.2">
      <c r="A255" s="57"/>
      <c r="B255" s="31" t="s">
        <v>924</v>
      </c>
      <c r="C255" s="31" t="s">
        <v>924</v>
      </c>
      <c r="D255" s="57" t="s">
        <v>1000</v>
      </c>
      <c r="E255" s="57"/>
      <c r="H255" s="43" t="s">
        <v>36</v>
      </c>
      <c r="I255" s="62" t="s">
        <v>582</v>
      </c>
      <c r="N255" s="59">
        <v>5000000</v>
      </c>
      <c r="O255" s="59">
        <v>5000000</v>
      </c>
      <c r="P255" s="59">
        <v>5000000</v>
      </c>
    </row>
    <row r="256" spans="1:16" x14ac:dyDescent="0.2">
      <c r="A256" s="57"/>
      <c r="B256" s="31" t="s">
        <v>924</v>
      </c>
      <c r="C256" s="31" t="s">
        <v>924</v>
      </c>
      <c r="D256" s="57" t="s">
        <v>1001</v>
      </c>
      <c r="E256" s="57"/>
      <c r="H256" s="43" t="s">
        <v>36</v>
      </c>
      <c r="I256" s="62" t="s">
        <v>582</v>
      </c>
      <c r="N256" s="59">
        <v>1000000</v>
      </c>
      <c r="O256" s="59">
        <v>1000000</v>
      </c>
      <c r="P256" s="59">
        <v>1000000</v>
      </c>
    </row>
    <row r="257" spans="1:16" x14ac:dyDescent="0.2">
      <c r="A257" s="57"/>
      <c r="B257" s="31" t="s">
        <v>924</v>
      </c>
      <c r="C257" s="31" t="s">
        <v>924</v>
      </c>
      <c r="D257" s="57" t="s">
        <v>1002</v>
      </c>
      <c r="E257" s="57"/>
      <c r="H257" s="43" t="s">
        <v>36</v>
      </c>
      <c r="I257" s="62" t="s">
        <v>582</v>
      </c>
      <c r="N257" s="59">
        <v>1200000</v>
      </c>
      <c r="O257" s="59">
        <v>1200000</v>
      </c>
      <c r="P257" s="59">
        <v>1200000</v>
      </c>
    </row>
    <row r="258" spans="1:16" x14ac:dyDescent="0.2">
      <c r="A258" s="57"/>
      <c r="B258" s="31" t="s">
        <v>924</v>
      </c>
      <c r="C258" s="31" t="s">
        <v>924</v>
      </c>
      <c r="D258" s="57" t="s">
        <v>1003</v>
      </c>
      <c r="E258" s="57"/>
      <c r="H258" s="43" t="s">
        <v>36</v>
      </c>
      <c r="I258" s="62" t="s">
        <v>582</v>
      </c>
      <c r="N258" s="59">
        <v>3000000</v>
      </c>
      <c r="O258" s="59">
        <v>3000000</v>
      </c>
      <c r="P258" s="59">
        <v>3000000</v>
      </c>
    </row>
    <row r="259" spans="1:16" x14ac:dyDescent="0.2">
      <c r="A259" s="57"/>
      <c r="B259" s="31" t="s">
        <v>924</v>
      </c>
      <c r="C259" s="31" t="s">
        <v>924</v>
      </c>
      <c r="D259" s="57" t="s">
        <v>1004</v>
      </c>
      <c r="E259" s="57"/>
      <c r="H259" s="43" t="s">
        <v>36</v>
      </c>
      <c r="I259" s="62" t="s">
        <v>582</v>
      </c>
      <c r="N259" s="59">
        <v>5000000</v>
      </c>
      <c r="O259" s="59">
        <v>5000000</v>
      </c>
      <c r="P259" s="59">
        <v>5000000</v>
      </c>
    </row>
    <row r="260" spans="1:16" ht="15" customHeight="1" x14ac:dyDescent="0.2">
      <c r="A260" s="57"/>
      <c r="B260" s="31" t="s">
        <v>924</v>
      </c>
      <c r="C260" s="31" t="s">
        <v>924</v>
      </c>
      <c r="D260" s="57" t="s">
        <v>1005</v>
      </c>
      <c r="E260" s="57"/>
      <c r="H260" s="43" t="s">
        <v>36</v>
      </c>
      <c r="I260" s="62" t="s">
        <v>582</v>
      </c>
      <c r="N260" s="59">
        <v>9300000</v>
      </c>
      <c r="O260" s="59">
        <v>9300000</v>
      </c>
      <c r="P260" s="59">
        <v>9300000</v>
      </c>
    </row>
    <row r="261" spans="1:16" ht="15" customHeight="1" x14ac:dyDescent="0.2">
      <c r="A261" s="57"/>
      <c r="B261" s="31" t="s">
        <v>924</v>
      </c>
      <c r="C261" s="31" t="s">
        <v>924</v>
      </c>
      <c r="D261" s="57" t="s">
        <v>1006</v>
      </c>
      <c r="E261" s="57"/>
      <c r="H261" s="43" t="s">
        <v>36</v>
      </c>
      <c r="I261" s="62" t="s">
        <v>582</v>
      </c>
      <c r="N261" s="59">
        <v>450000</v>
      </c>
      <c r="O261" s="59">
        <v>450000</v>
      </c>
      <c r="P261" s="59">
        <v>450000</v>
      </c>
    </row>
    <row r="262" spans="1:16" ht="15" customHeight="1" x14ac:dyDescent="0.2">
      <c r="A262" s="57"/>
      <c r="B262" s="31" t="s">
        <v>924</v>
      </c>
      <c r="C262" s="31" t="s">
        <v>924</v>
      </c>
      <c r="D262" s="57" t="s">
        <v>995</v>
      </c>
      <c r="E262" s="57"/>
      <c r="H262" s="43" t="s">
        <v>36</v>
      </c>
      <c r="I262" s="62" t="s">
        <v>582</v>
      </c>
      <c r="N262" s="59">
        <v>203785.2</v>
      </c>
      <c r="O262" s="59">
        <v>203785.2</v>
      </c>
      <c r="P262" s="59">
        <v>203785.2</v>
      </c>
    </row>
    <row r="263" spans="1:16" x14ac:dyDescent="0.2">
      <c r="A263" s="57"/>
      <c r="B263" s="31" t="s">
        <v>924</v>
      </c>
      <c r="C263" s="31" t="s">
        <v>924</v>
      </c>
      <c r="D263" s="57" t="s">
        <v>1007</v>
      </c>
      <c r="E263" s="57"/>
      <c r="H263" s="43" t="s">
        <v>36</v>
      </c>
      <c r="I263" s="62" t="s">
        <v>582</v>
      </c>
      <c r="N263" s="59">
        <v>750000</v>
      </c>
      <c r="O263" s="59">
        <v>750000</v>
      </c>
      <c r="P263" s="59">
        <v>750000</v>
      </c>
    </row>
    <row r="264" spans="1:16" x14ac:dyDescent="0.2">
      <c r="A264" s="57"/>
      <c r="B264" s="31" t="s">
        <v>924</v>
      </c>
      <c r="C264" s="31" t="s">
        <v>924</v>
      </c>
      <c r="D264" s="57" t="s">
        <v>1008</v>
      </c>
      <c r="E264" s="58"/>
      <c r="H264" s="43" t="s">
        <v>36</v>
      </c>
      <c r="I264" s="62" t="s">
        <v>582</v>
      </c>
      <c r="N264" s="59">
        <v>174060</v>
      </c>
      <c r="O264" s="59">
        <v>174060</v>
      </c>
      <c r="P264" s="59">
        <v>174060</v>
      </c>
    </row>
    <row r="265" spans="1:16" ht="15" customHeight="1" x14ac:dyDescent="0.2">
      <c r="A265" s="57"/>
      <c r="B265" s="31" t="s">
        <v>924</v>
      </c>
      <c r="C265" s="31" t="s">
        <v>924</v>
      </c>
      <c r="D265" s="57" t="s">
        <v>1009</v>
      </c>
      <c r="E265" s="57"/>
      <c r="H265" s="43" t="s">
        <v>36</v>
      </c>
      <c r="I265" s="62" t="s">
        <v>582</v>
      </c>
      <c r="N265" s="59">
        <v>1000000</v>
      </c>
      <c r="O265" s="59">
        <v>1000000</v>
      </c>
      <c r="P265" s="59">
        <v>1000000</v>
      </c>
    </row>
    <row r="266" spans="1:16" ht="15" customHeight="1" x14ac:dyDescent="0.2">
      <c r="A266" s="57"/>
      <c r="B266" s="31" t="s">
        <v>924</v>
      </c>
      <c r="C266" s="31" t="s">
        <v>924</v>
      </c>
      <c r="D266" s="57" t="s">
        <v>1010</v>
      </c>
      <c r="E266" s="57"/>
      <c r="H266" s="43" t="s">
        <v>36</v>
      </c>
      <c r="I266" s="62" t="s">
        <v>582</v>
      </c>
      <c r="N266" s="59">
        <v>500000</v>
      </c>
      <c r="O266" s="59">
        <v>500000</v>
      </c>
      <c r="P266" s="59">
        <v>500000</v>
      </c>
    </row>
    <row r="267" spans="1:16" ht="15" customHeight="1" x14ac:dyDescent="0.2">
      <c r="A267" s="57"/>
      <c r="B267" s="31" t="s">
        <v>924</v>
      </c>
      <c r="C267" s="31" t="s">
        <v>924</v>
      </c>
      <c r="D267" s="57" t="s">
        <v>1011</v>
      </c>
      <c r="E267" s="57"/>
      <c r="H267" s="43" t="s">
        <v>36</v>
      </c>
      <c r="I267" s="62" t="s">
        <v>582</v>
      </c>
      <c r="N267" s="59">
        <v>340836</v>
      </c>
      <c r="O267" s="59">
        <v>340836</v>
      </c>
      <c r="P267" s="59">
        <v>340836</v>
      </c>
    </row>
    <row r="268" spans="1:16" ht="15" customHeight="1" x14ac:dyDescent="0.2">
      <c r="A268" s="57"/>
      <c r="B268" s="31" t="s">
        <v>924</v>
      </c>
      <c r="C268" s="31" t="s">
        <v>924</v>
      </c>
      <c r="D268" s="57" t="s">
        <v>1012</v>
      </c>
      <c r="E268" s="57"/>
      <c r="H268" s="43" t="s">
        <v>36</v>
      </c>
      <c r="I268" s="62" t="s">
        <v>582</v>
      </c>
      <c r="N268" s="59">
        <v>4000000</v>
      </c>
      <c r="O268" s="59">
        <v>4000000</v>
      </c>
      <c r="P268" s="59">
        <v>4000000</v>
      </c>
    </row>
    <row r="269" spans="1:16" ht="15" customHeight="1" x14ac:dyDescent="0.2">
      <c r="A269" s="57"/>
      <c r="B269" s="31" t="s">
        <v>924</v>
      </c>
      <c r="C269" s="31" t="s">
        <v>924</v>
      </c>
      <c r="D269" s="57" t="s">
        <v>1013</v>
      </c>
      <c r="E269" s="57"/>
      <c r="H269" s="43" t="s">
        <v>36</v>
      </c>
      <c r="I269" s="62" t="s">
        <v>582</v>
      </c>
      <c r="N269" s="59">
        <v>2500000</v>
      </c>
      <c r="O269" s="59">
        <v>2500000</v>
      </c>
      <c r="P269" s="59">
        <v>2500000</v>
      </c>
    </row>
    <row r="270" spans="1:16" ht="15" customHeight="1" x14ac:dyDescent="0.2">
      <c r="A270" s="57"/>
      <c r="B270" s="31" t="s">
        <v>924</v>
      </c>
      <c r="C270" s="31" t="s">
        <v>924</v>
      </c>
      <c r="D270" s="57" t="s">
        <v>1014</v>
      </c>
      <c r="E270" s="57"/>
      <c r="H270" s="43" t="s">
        <v>36</v>
      </c>
      <c r="I270" s="62" t="s">
        <v>582</v>
      </c>
      <c r="N270" s="59">
        <v>92160</v>
      </c>
      <c r="O270" s="59">
        <v>92160</v>
      </c>
      <c r="P270" s="59">
        <v>92160</v>
      </c>
    </row>
    <row r="271" spans="1:16" ht="15" customHeight="1" x14ac:dyDescent="0.2">
      <c r="A271" s="57"/>
      <c r="B271" s="31" t="s">
        <v>924</v>
      </c>
      <c r="C271" s="31" t="s">
        <v>924</v>
      </c>
      <c r="D271" s="57" t="s">
        <v>1015</v>
      </c>
      <c r="E271" s="57"/>
      <c r="H271" s="29" t="s">
        <v>36</v>
      </c>
      <c r="I271" s="62" t="s">
        <v>582</v>
      </c>
      <c r="N271" s="59">
        <v>1922038</v>
      </c>
      <c r="O271" s="59">
        <v>1922038</v>
      </c>
      <c r="P271" s="59">
        <v>1922038</v>
      </c>
    </row>
  </sheetData>
  <autoFilter ref="A1:R271" xr:uid="{00000000-0001-0000-0000-000000000000}">
    <filterColumn colId="11">
      <filters blank="1">
        <filter val="Active"/>
        <filter val="Approved"/>
        <filter val="Award"/>
      </filters>
    </filterColumn>
    <sortState xmlns:xlrd2="http://schemas.microsoft.com/office/spreadsheetml/2017/richdata2" ref="A7:R271">
      <sortCondition descending="1" ref="C1:C271"/>
    </sortState>
  </autoFilter>
  <sortState xmlns:xlrd2="http://schemas.microsoft.com/office/spreadsheetml/2017/richdata2" ref="A2:R117">
    <sortCondition ref="A2:A117"/>
  </sortState>
  <phoneticPr fontId="8" type="noConversion"/>
  <hyperlinks>
    <hyperlink ref="D166" r:id="rId1" display="https://wellcome.dimensions.ai/details/grant/grant.4580178?search_mode=content&amp;search_text=Wellcome%20Trust%20200890%2FZ%2F16%2FZ&amp;search_type=kws&amp;search_field=full_search" xr:uid="{BFD5E070-6AC8-477F-ADD7-19DC048F51A8}"/>
    <hyperlink ref="D181" r:id="rId2" display="https://wellcome.dimensions.ai/details/grant/grant.10030322?search_mode=content&amp;search_text=Wellcome%20Trust%20222180%2FZ%2F20%2FZ&amp;search_type=kws&amp;search_field=full_search" xr:uid="{0EE572E9-B210-4B73-8BFD-F50E4F0D15CA}"/>
    <hyperlink ref="D180" r:id="rId3" display="https://wellcome.dimensions.ai/details/grant/grant.10029576?search_mode=content&amp;search_text=Wellcome%20Trust%20219169%2FZ%2F19%2FZ&amp;search_type=kws&amp;search_field=full_search" xr:uid="{63A47A61-3ED5-44E2-A16E-7E1771AAE71A}"/>
    <hyperlink ref="D178" r:id="rId4" display="https://wellcome.dimensions.ai/details/grant/grant.10029513?search_mode=content&amp;search_text=Wellcome%20Trust%20218632%2FZ%2F19%2FZ&amp;search_type=kws&amp;search_field=full_search" xr:uid="{D74485C6-CA08-44FE-9E4D-B1CBF41DAE27}"/>
    <hyperlink ref="D171" r:id="rId5" display="https://wellcome.dimensions.ai/details/grant/grant.7159274?search_mode=content&amp;search_text=Wellcome%20Trust%20205222%2FZ%2F16%2FZ&amp;search_type=kws&amp;search_field=full_search" xr:uid="{DD77D65B-1173-442D-9469-25E81477DBC8}"/>
    <hyperlink ref="D164" r:id="rId6" display="https://wellcome.dimensions.ai/details/grant/grant.6665177?search_mode=content&amp;search_text=Wellcome%20Trust%20107742%2FZ%2F15%2FZ&amp;search_type=kws&amp;search_field=full_search" xr:uid="{FFDD5E9B-411A-4674-A5E8-73AFE7110058}"/>
    <hyperlink ref="D162" r:id="rId7" display="https://wellcome.dimensions.ai/details/grant/grant.4580792?search_mode=content&amp;search_text=Wellcome%20Trust%20106871%2FZ%2F15%2FZ&amp;search_type=kws&amp;search_field=full_search" xr:uid="{EA5F4271-21FB-466E-BE27-72A045A1ADF2}"/>
    <hyperlink ref="D159" r:id="rId8" display="https://wellcome.dimensions.ai/details/grant/grant.3637484?search_mode=content&amp;search_text=Wellcome%20Trust%20103932&amp;search_type=kws&amp;search_field=full_search" xr:uid="{73E7A956-646B-4795-9F54-BA3AB67EE8C4}"/>
    <hyperlink ref="D156" r:id="rId9" display="https://wellcome.dimensions.ai/details/grant/grant.3637460?search_mode=content&amp;search_text=Wellcome%20Trust%20100891&amp;search_type=kws&amp;search_field=full_search" xr:uid="{6B180320-F434-4254-BBA7-41D4DE52BC02}"/>
    <hyperlink ref="D148" r:id="rId10" display="https://wellcome.dimensions.ai/details/grant/grant.3638667?search_mode=content&amp;search_text=Wellcome%20Trust%20087547%2FZ%2F08%2FZ&amp;search_type=kws&amp;search_field=full_search" xr:uid="{401D3DB0-82D8-4834-B806-555A286174CB}"/>
    <hyperlink ref="D137" r:id="rId11" display="https://wellcome.dimensions.ai/details/grant/grant.3627306?search_mode=content&amp;search_text=Wellcome%20Trust%20072465%2FZ%2F03%2FZ&amp;search_type=kws&amp;search_field=full_search" xr:uid="{3B1E2DDA-BD6D-44A4-B84E-20C871812A3B}"/>
    <hyperlink ref="D134" r:id="rId12" display="https://wellcome.dimensions.ai/details/grant/grant.3633056?search_mode=content&amp;search_text=Wellcome%20Trust%20033340&amp;search_type=kws&amp;search_field=full_search" xr:uid="{36C35496-82BE-4618-9182-4DB5ECD681D6}"/>
    <hyperlink ref="D177" r:id="rId13" display="https://wellcome.dimensions.ai/details/grant/grant.10029249?search_mode=content&amp;search_text=Wellcome%20Trust%20216033-Z-19-Z&amp;search_type=kws&amp;search_field=full_search" xr:uid="{A8FC5367-6E53-42FB-B51D-9AC3FD45B6B0}"/>
    <hyperlink ref="D176" r:id="rId14" display="https://wellcome.dimensions.ai/details/grant/grant.8558599?search_mode=content&amp;search_text=Wellcome%20Trust%20216014%2FZ%2F19%2FZ&amp;search_type=kws&amp;search_field=full_search" xr:uid="{4B4F2B9C-04E1-44E2-A3BB-57912B032E9D}"/>
    <hyperlink ref="D175" r:id="rId15" display="https://wellcome.dimensions.ai/details/grant/grant.10029131?search_mode=content&amp;search_text=Wellcome%20Trust%20215022%2FZ%2F18%2FZ&amp;search_type=kws&amp;search_field=full_search" xr:uid="{CBCA4ECE-C4E1-485D-955C-4A8F4C130437}"/>
    <hyperlink ref="D174" r:id="rId16" display="https://wellcome.dimensions.ai/details/grant/grant.8104022?search_mode=content&amp;search_text=Wellcome%20Trust%20213494%2FZ%2F18%2FZ&amp;search_type=kws&amp;search_field=full_search" xr:uid="{0B8B6547-F357-4968-BD8D-87CD4EF173CA}"/>
    <hyperlink ref="D168" r:id="rId17" display="https://wellcome.dimensions.ai/details/grant/grant.6666215?search_mode=content&amp;search_text=Wellcome%20Trust%20203077%2FZ%2F16%2FZ&amp;search_type=kws&amp;search_field=full_search" xr:uid="{B15A61E6-44F2-47DF-9CBD-574C03025B8E}"/>
    <hyperlink ref="D163" r:id="rId18" display="https://wellcome.dimensions.ai/details/grant/grant.6665158?search_mode=content&amp;search_text=Wellcome%20Trust%20106924&amp;search_type=kws&amp;search_field=full_search" xr:uid="{14E8FB84-B656-46AA-9114-40AC44CD8D4C}"/>
    <hyperlink ref="D157" r:id="rId19" display="https://wellcome.dimensions.ai/details/grant/grant.3641420?search_mode=content&amp;search_text=Wellcome%20Trust%20101113&amp;search_type=kws&amp;search_field=full_search" xr:uid="{70689BF4-2E3C-41DC-B6E6-DD6ACAEEBC8A}"/>
    <hyperlink ref="D147" r:id="rId20" display="https://wellcome.dimensions.ai/details/grant/grant.3639009?search_mode=content&amp;search_text=Wellcome%20Trust%20087540&amp;search_type=kws&amp;search_field=full_search" xr:uid="{52ACC896-CE63-4AD3-AF4B-B931D22E076C}"/>
    <hyperlink ref="D145" r:id="rId21" display="https://wellcome.dimensions.ai/details/grant/grant.3637732?search_mode=content&amp;search_text=Wellcome%20Trust%20084538&amp;search_type=kws&amp;search_field=full_search" xr:uid="{C85CA17C-90E1-4009-9E55-CB7CC0C86C54}"/>
    <hyperlink ref="D173" r:id="rId22" display="https://wellcome.dimensions.ai/details/grant/grant.8103170?search_mode=content&amp;search_text=Wellcome%20Trust%20210794%2FZ%2F18%2FZ&amp;search_type=kws&amp;search_field=full_search" xr:uid="{4C335D0D-8D4C-4ABF-94B1-E22151AA131D}"/>
    <hyperlink ref="D160" r:id="rId23" display="https://wellcome.dimensions.ai/details/grant/grant.4580498?search_mode=content&amp;search_text=Wellcome%20Trust%20106854%2FZ%2F15%2FZ&amp;search_type=kws&amp;search_field=full_search" xr:uid="{2809FE92-DA86-4F2E-8247-F4E64D182EC6}"/>
    <hyperlink ref="D141" r:id="rId24" display="https://wellcome.dimensions.ai/details/grant/grant.3632945?search_mode=content&amp;search_text=Wellcome%20Trust%20078925&amp;search_type=kws&amp;search_field=full_search" xr:uid="{568E006C-6B27-43C7-938B-9F43150C0373}"/>
    <hyperlink ref="D169" r:id="rId25" display="https://wellcome.dimensions.ai/details/grant/grant.7159261?search_mode=content&amp;search_text=Wellcome%20Trust%20205177&amp;search_type=kws&amp;search_field=full_search" xr:uid="{889D8DD5-77F5-4189-9717-0745FB8F1F3E}"/>
    <hyperlink ref="D153" r:id="rId26" display="https://wellcome.dimensions.ai/details/grant/grant.3639894?search_mode=content&amp;search_text=Wellcome%20Trust%20098045&amp;search_type=kws&amp;search_field=full_search" xr:uid="{AB5B17CD-19F2-49E3-8B96-1F61EFBA26E5}"/>
    <hyperlink ref="D179" r:id="rId27" display="https://wellcome.dimensions.ai/details/grant/grant.10029544?search_mode=content&amp;search_text=Wellcome%20Trust%20218743%2FZ%2F19%2FZ&amp;search_type=kws&amp;search_field=full_search" xr:uid="{A29EF5B0-4172-4CA0-AF05-36AF45E33B91}"/>
    <hyperlink ref="D170" r:id="rId28" display="https://wellcome.dimensions.ai/details/grant/grant.7159267?search_mode=content&amp;search_text=Wellcome%20Trust%20205207%2FZ%2F16%2FZ&amp;search_type=kws&amp;search_field=full_search" xr:uid="{5E97E0A2-E6B1-40C9-A3D1-C7C38D1BFDD2}"/>
    <hyperlink ref="D158" r:id="rId29" display="https://wellcome.dimensions.ai/details/grant/grant.4579409?search_mode=content&amp;search_text=Wellcome%20Trust%20103602&amp;search_type=kws&amp;search_field=full_search" xr:uid="{22963A32-CCA4-4801-A4EE-10D5C2452E2F}"/>
    <hyperlink ref="D154" r:id="rId30" display="https://wellcome.dimensions.ai/details/grant/grant.3637935?search_mode=content&amp;search_text=Wellcome%20Trust%20099876&amp;search_type=kws&amp;search_field=full_search" xr:uid="{6AA535F0-0020-4D1F-97D9-25EB93072AFD}"/>
    <hyperlink ref="D151" r:id="rId31" display="https://wellcome.dimensions.ai/details/grant/grant.3639034?search_mode=content&amp;search_text=Wellcome%20Trust%20093724&amp;search_type=kws&amp;search_field=full_search" xr:uid="{1B8BE7DC-2915-4CDD-B214-80A53E28347E}"/>
    <hyperlink ref="D144" r:id="rId32" display="https://wellcome.dimensions.ai/details/grant/grant.3629072?search_mode=content&amp;search_text=Wellcome%20Trust%20081673&amp;search_type=kws&amp;search_field=full_search" xr:uid="{DFDE4299-EA94-456C-B480-7F102B77204D}"/>
    <hyperlink ref="D140" r:id="rId33" display="https://wellcome.dimensions.ai/details/grant/grant.3632956?search_mode=content&amp;search_text=Wellcome%20Trust%20077092&amp;search_type=kws&amp;search_field=full_search" xr:uid="{AB111211-3D40-4DCD-8C9E-6B5E0769FECE}"/>
    <hyperlink ref="D136" r:id="rId34" display="https://wellcome.dimensions.ai/details/grant/grant.3627577?search_mode=content&amp;search_text=Wellcome%20Trust%20070696%2FZ%2F03%2FZ&amp;search_type=kws&amp;search_field=full_search" xr:uid="{DF5C52EE-684B-4D97-8D61-AB2CAA805394}"/>
    <hyperlink ref="D139" r:id="rId35" display="https://wellcome.dimensions.ai/details/grant/grant.3630122?search_mode=content&amp;search_text=Wellcome%20Trust%20076951&amp;search_type=kws&amp;search_field=full_search" xr:uid="{4879FBF8-7B87-4B01-9FCA-C11751A680CA}"/>
    <hyperlink ref="D138" r:id="rId36" display="https://wellcome.dimensions.ai/details/grant/grant.3626019?search_mode=content&amp;search_text=Wellcome%20Trust%20076583%2FZ%2F05%2FZ&amp;search_type=kws&amp;search_field=full_search" xr:uid="{6BE35750-D96D-4E39-AEF3-6388CB4213F2}"/>
    <hyperlink ref="D149" r:id="rId37" display="https://wellcome.dimensions.ai/details/grant/grant.3642065?search_mode=content&amp;search_text=Wellcome%20Trust%20089276&amp;search_type=kws&amp;search_field=full_search" xr:uid="{22F0DE28-42EB-4B10-A230-139C045DC93C}"/>
    <hyperlink ref="D146" r:id="rId38" display="https://wellcome.dimensions.ai/details/grant/grant.3640427?search_mode=content&amp;search_text=085308&amp;search_type=kws&amp;search_field=full_search" xr:uid="{AE389E22-A4E8-44D8-948D-61F405C697BB}"/>
    <hyperlink ref="D155" r:id="rId39" display="https://wellcome.dimensions.ai/details/grant/grant.3638641?search_mode=content&amp;search_text=Wellcome%20Trust%20100693&amp;search_type=kws&amp;search_field=full_search" xr:uid="{61675C1F-53DA-434B-97F4-229F04870DBB}"/>
    <hyperlink ref="D135" r:id="rId40" display="https://wellcome.dimensions.ai/details/application/056642Z99Z?search_mode=content&amp;search_text=056642&amp;search_type=kws&amp;search_field=full_search" xr:uid="{C07772EA-FAF7-4CBC-82C7-BD4A7F98563C}"/>
    <hyperlink ref="D167" r:id="rId41" display="https://wellcome.dimensions.ai/details/grant/grant.6665806?search_mode=content&amp;search_text=Wellcome%20Trust%20201900%2FZ%2F16%2FZ&amp;search_type=kws&amp;search_field=full_search" xr:uid="{7F066D36-5F41-4202-B1D1-92C46E89B026}"/>
    <hyperlink ref="D161" r:id="rId42" display="https://wellcome.dimensions.ai/details/grant/grant.4580279?search_mode=content&amp;search_text=106866%2FZ%2F15%2FZ&amp;search_type=kws&amp;search_field=full_search" xr:uid="{22206AF6-03BB-4E07-8BBD-9CDE7C626449}"/>
    <hyperlink ref="D172" r:id="rId43" display="https://wellcome.dimensions.ai/details/grant/grant.8103168?search_mode=content&amp;search_text=210758%2FZ%2F18%2FZ&amp;search_type=kws&amp;search_field=full_search" xr:uid="{64F1C2A6-96BB-4D47-930B-1E4AD70B0D40}"/>
    <hyperlink ref="D143" r:id="rId44" display="https://wellcome.dimensions.ai/details/grant/grant.3634146?search_mode=content&amp;search_text=079091&amp;search_type=kws&amp;search_field=full_search" xr:uid="{EC412FE2-B73F-4CDA-AC97-3913642CACA6}"/>
    <hyperlink ref="D150" r:id="rId45" display="https://wellcome.dimensions.ai/details/grant/grant.3635759?search_mode=content&amp;search_text=092654&amp;search_type=kws&amp;search_field=full_search" xr:uid="{815A93D8-7E6E-479A-A942-FDF783775D1E}"/>
    <hyperlink ref="D152" r:id="rId46" display="https://wellcome.dimensions.ai/details/grant/grant.3639126?search_mode=content&amp;search_text=095066&amp;search_type=kws&amp;search_field=full_search" xr:uid="{BA6644A2-6A9E-47C1-900A-BEC98757CA20}"/>
    <hyperlink ref="D142" r:id="rId47" display="https://wellcome.dimensions.ai/details/grant/grant.3634803?search_mode=content&amp;search_text=079080&amp;search_type=kws&amp;search_field=full_search" xr:uid="{FE6E91B7-53A9-4598-AA09-C4CAB350CAC2}"/>
    <hyperlink ref="D165" r:id="rId48" xr:uid="{94215D91-0DEA-4A5C-8112-4020D59C4CB5}"/>
    <hyperlink ref="Q102" r:id="rId49" xr:uid="{CB1710DC-8352-4C67-8682-1E5E86AE0B0D}"/>
    <hyperlink ref="Q101" r:id="rId50" xr:uid="{56F0F595-5960-400A-A843-D4F08E1FBBCC}"/>
    <hyperlink ref="Q100" r:id="rId51" xr:uid="{947C89E5-9676-4373-B9DD-6ED6E99191A1}"/>
    <hyperlink ref="Q97" r:id="rId52" xr:uid="{E179B39B-F259-4AAE-A452-391983E91D73}"/>
    <hyperlink ref="Q99" r:id="rId53" xr:uid="{2F3BABC1-0F30-4A0B-86BB-3E2A48B56533}"/>
    <hyperlink ref="Q96" r:id="rId54" xr:uid="{3227DEAC-2787-4AB9-B1CC-3F1233B2336B}"/>
    <hyperlink ref="Q93" r:id="rId55" xr:uid="{54688EC7-79F0-4A3D-8419-B7F250CCE826}"/>
    <hyperlink ref="Q98" r:id="rId56" xr:uid="{5E3EB143-7AEE-4C42-AE29-CB35AEAF7F64}"/>
    <hyperlink ref="Q94" r:id="rId57" xr:uid="{102B0EC3-F196-444D-ABAF-518690195ECD}"/>
    <hyperlink ref="Q115" r:id="rId58" xr:uid="{B8B5B7BB-5D59-44E8-AF4D-FDB13EFFFC49}"/>
    <hyperlink ref="Q95" r:id="rId59" xr:uid="{F31CD337-6AA3-4F73-9F5D-A19A25676E46}"/>
    <hyperlink ref="Q114" r:id="rId60" xr:uid="{FB621A22-BDE0-443A-B4CE-6B87D55FAD23}"/>
    <hyperlink ref="Q92" r:id="rId61" xr:uid="{71A3174C-8429-4907-B656-5ACD9CA8673F}"/>
    <hyperlink ref="Q88" r:id="rId62" xr:uid="{1AA68F41-5903-40C9-AA0B-C28F093E152E}"/>
    <hyperlink ref="Q81" r:id="rId63" xr:uid="{4972C5EF-996D-4B23-8A12-9B511176CC73}"/>
    <hyperlink ref="Q83" r:id="rId64" xr:uid="{C66CCDCB-56FA-480C-90F2-D1E595B62874}"/>
    <hyperlink ref="Q80" r:id="rId65" xr:uid="{3361F5A1-1293-44A4-BA19-449B21E1C3E8}"/>
    <hyperlink ref="Q87" r:id="rId66" xr:uid="{09422703-E55F-4034-B92F-35B7B6BF03AD}"/>
    <hyperlink ref="Q84" r:id="rId67" xr:uid="{85E444B6-5FB4-4AA2-AF30-61F842C7C1D9}"/>
    <hyperlink ref="Q79" r:id="rId68" xr:uid="{AEB66C1C-0E3D-4977-A126-645CE9A64824}"/>
    <hyperlink ref="Q85" r:id="rId69" xr:uid="{9F868A2A-DE32-4242-8335-5FD027FE8FB0}"/>
    <hyperlink ref="Q82" r:id="rId70" xr:uid="{FC835D65-ADBA-425B-AF7D-F5630A101218}"/>
    <hyperlink ref="Q86" r:id="rId71" xr:uid="{8213FCBA-1DFF-4EFC-AC0A-A852DBF94C0D}"/>
    <hyperlink ref="Q112" r:id="rId72" xr:uid="{4C8E38DD-D69E-4E7B-BBB1-98A71D26FC2B}"/>
    <hyperlink ref="Q63" r:id="rId73" xr:uid="{0C09229D-C547-4D27-8648-A6854426EB1E}"/>
    <hyperlink ref="Q65" r:id="rId74" xr:uid="{C39564E2-CB17-4C35-914A-8082BBB05F93}"/>
    <hyperlink ref="Q64" r:id="rId75" xr:uid="{C32953C8-3AF8-4674-B8A5-06E124A5B8D0}"/>
    <hyperlink ref="Q58" r:id="rId76" xr:uid="{8DA02E02-14AA-4EE9-905A-A3021572C08E}"/>
    <hyperlink ref="Q60" r:id="rId77" xr:uid="{314DB4B4-719C-4315-9245-1099CC69C2A3}"/>
    <hyperlink ref="Q66" r:id="rId78" xr:uid="{5B41BBCE-071E-41B1-8DB0-A35E9F532A5E}"/>
    <hyperlink ref="Q61" r:id="rId79" xr:uid="{958EDDD7-75CA-4FE2-B20D-9316F78B7F5C}"/>
    <hyperlink ref="Q62" r:id="rId80" xr:uid="{A4CA7023-6203-49C3-977F-4C00D74BB8FC}"/>
    <hyperlink ref="Q67" r:id="rId81" xr:uid="{7C72BACF-7B31-47D7-BD7F-8C4B7CC5E63A}"/>
    <hyperlink ref="Q59" r:id="rId82" xr:uid="{2AF79524-6249-48A7-A213-250F4239CC90}"/>
    <hyperlink ref="Q113" r:id="rId83" xr:uid="{7751D102-0776-48C9-9BBA-C6D49B2549E5}"/>
    <hyperlink ref="Q90" r:id="rId84" xr:uid="{8B25ACD8-BCF2-44CF-BC76-5BD0953A4A40}"/>
    <hyperlink ref="Q89" r:id="rId85" xr:uid="{DF9B5C30-E45D-4A52-8B70-B754432FFBCB}"/>
    <hyperlink ref="Q91" r:id="rId86" xr:uid="{C05FDAB6-468C-43F9-81E7-ECCC6933AD79}"/>
    <hyperlink ref="Q74" r:id="rId87" xr:uid="{6E9724C5-1780-477F-9520-12D93AA9A137}"/>
    <hyperlink ref="Q75" r:id="rId88" xr:uid="{644C6969-E78C-4168-B14F-64D0800146F5}"/>
    <hyperlink ref="Q68" r:id="rId89" xr:uid="{DB00A550-AE37-4DEE-8E94-3E36EEFF5956}"/>
    <hyperlink ref="Q73" r:id="rId90" xr:uid="{BF7363A8-B65A-4EF8-A355-4B915C465E50}"/>
    <hyperlink ref="Q72" r:id="rId91" xr:uid="{A83D0520-73F1-43E4-81A6-6C620D1EC475}"/>
    <hyperlink ref="Q77" r:id="rId92" xr:uid="{E139280D-9FED-47F8-94C9-954D65D58130}"/>
    <hyperlink ref="Q69" r:id="rId93" xr:uid="{95FAA5CC-1E7D-4BE6-B5BA-490D2CBA41A0}"/>
    <hyperlink ref="Q70" r:id="rId94" xr:uid="{06ED1464-B4EE-4C57-8C8D-7E0D99A747BE}"/>
    <hyperlink ref="Q76" r:id="rId95" xr:uid="{D4B6237A-8EA0-4799-B867-9EB3B3772325}"/>
    <hyperlink ref="Q71" r:id="rId96" xr:uid="{4903486E-8940-4A67-8794-387F571725E6}"/>
    <hyperlink ref="Q57" r:id="rId97" xr:uid="{6FF3D401-9F15-46F4-BFE6-2C0A1C72A64C}"/>
    <hyperlink ref="Q56" r:id="rId98" xr:uid="{135EA2FD-DFD6-45B3-8B45-0AB2207AAE3E}"/>
    <hyperlink ref="Q104" r:id="rId99" xr:uid="{9C0AA914-F9CA-47D7-9E6D-B96E3DD5FED7}"/>
    <hyperlink ref="Q53" r:id="rId100" xr:uid="{07F91BCF-33D7-48F2-8E11-938D2C77E7BF}"/>
    <hyperlink ref="Q116" r:id="rId101" xr:uid="{9CF8BB1E-09A9-4815-88D6-D0DD26A0C113}"/>
    <hyperlink ref="Q110" r:id="rId102" xr:uid="{B9EE0F34-1A0E-4158-850B-35A6B07C247F}"/>
    <hyperlink ref="Q54" r:id="rId103" xr:uid="{947D5209-86D1-4517-9139-57AC9AD7A455}"/>
    <hyperlink ref="Q78" r:id="rId104" xr:uid="{734D1266-2497-413B-B64F-15E5CD7A3CA2}"/>
    <hyperlink ref="Q106" r:id="rId105" xr:uid="{9A63AC68-B3E3-4F28-9402-B6059D627F32}"/>
    <hyperlink ref="Q55" r:id="rId106" xr:uid="{EA5D70B2-1A3E-472E-B251-5B9D00D065F3}"/>
    <hyperlink ref="Q107" r:id="rId107" xr:uid="{D740638C-2E33-45A6-83D3-39BE317DC404}"/>
    <hyperlink ref="Q111" r:id="rId108" xr:uid="{DC059CED-DF7E-43DF-801E-49B59E4124F2}"/>
    <hyperlink ref="Q103" r:id="rId109" xr:uid="{FA00B9DD-15D6-4B6C-B5F1-051A42E9F9E7}"/>
    <hyperlink ref="Q105" r:id="rId110" xr:uid="{79428247-73BB-4082-86E2-E8757CC29541}"/>
    <hyperlink ref="Q108" r:id="rId111" xr:uid="{E2ABD7DE-9E7B-4B3D-8AB7-424C9509F95E}"/>
    <hyperlink ref="Q109" r:id="rId112" xr:uid="{C097069F-132E-4CA8-9007-96B1DE1C6A7E}"/>
    <hyperlink ref="Q42" r:id="rId113" xr:uid="{505579DF-074A-4CE8-9DC2-C520F3ED4F74}"/>
    <hyperlink ref="Q33" r:id="rId114" xr:uid="{377B30A1-D00C-4450-9A50-8C32BAEFDD4F}"/>
    <hyperlink ref="Q36" r:id="rId115" xr:uid="{5B072302-99BF-4379-9C47-9A2791220F89}"/>
    <hyperlink ref="Q14" r:id="rId116" xr:uid="{0C54BCE8-7CBD-4AF5-97A7-842C6D236530}"/>
    <hyperlink ref="Q34" r:id="rId117" xr:uid="{B60DD443-15FA-44E5-B918-BEBD546122E4}"/>
    <hyperlink ref="Q44" r:id="rId118" xr:uid="{44D5BDFD-9984-4FE1-876B-23A30B638C63}"/>
    <hyperlink ref="Q39" r:id="rId119" xr:uid="{DE451186-4153-47FE-BBEB-AF6F45C6E794}"/>
    <hyperlink ref="Q45" r:id="rId120" xr:uid="{30BABB8F-DAEE-4404-9EFD-A6B5F0027CC1}"/>
    <hyperlink ref="Q37" r:id="rId121" xr:uid="{4765172D-3442-4E36-A3F9-5B27FC0C3FE7}"/>
    <hyperlink ref="Q15" r:id="rId122" xr:uid="{462CF472-65AE-46C7-A131-1F681BE5173A}"/>
    <hyperlink ref="Q38" r:id="rId123" xr:uid="{268C1685-DB7F-468E-A62B-743B86369921}"/>
    <hyperlink ref="Q50" r:id="rId124" xr:uid="{8B80970B-BF47-4D9B-B6C3-83D2729B8B80}"/>
    <hyperlink ref="Q43" r:id="rId125" xr:uid="{5739BD49-2738-4B98-834C-A637C531C0D8}"/>
    <hyperlink ref="Q40" r:id="rId126" xr:uid="{E1CB2CCD-6F6F-41D7-B6AC-DE9795B8D2EE}"/>
    <hyperlink ref="Q41" r:id="rId127" xr:uid="{DD55D915-0F83-4370-BFE4-B071058D73F9}"/>
    <hyperlink ref="Q31" r:id="rId128" xr:uid="{6149E420-E296-4C39-A8E9-7885F53020E0}"/>
    <hyperlink ref="Q47" r:id="rId129" xr:uid="{E05C6669-6585-403C-B3AF-D8136739088A}"/>
    <hyperlink ref="Q48" r:id="rId130" xr:uid="{42EB075A-5754-4441-8CDD-3AFF0B5A56AC}"/>
    <hyperlink ref="Q49" r:id="rId131" xr:uid="{E8611D68-6B6E-42C2-AC5E-72810422CBDC}"/>
    <hyperlink ref="Q52" r:id="rId132" xr:uid="{7643CF54-8D57-47ED-9DA9-19F37EC060D4}"/>
    <hyperlink ref="Q46" r:id="rId133" xr:uid="{0A7D6223-4E7C-4CBF-9EBC-BDBA5F79B20C}"/>
    <hyperlink ref="Q51" r:id="rId134" xr:uid="{91183185-42B3-4518-9B21-729E5DD81A74}"/>
    <hyperlink ref="Q13" r:id="rId135" xr:uid="{2C3D1664-716F-47F0-A1F3-ACFE8031A9DB}"/>
    <hyperlink ref="Q11" r:id="rId136" xr:uid="{69A47ED4-B322-4C7F-AD84-504E12DCFBDF}"/>
    <hyperlink ref="Q12" r:id="rId137" xr:uid="{4BB35585-05BD-49E6-A0B8-76C1ECDD4463}"/>
    <hyperlink ref="Q32" r:id="rId138" xr:uid="{048683BE-6353-4C45-B617-B24B74280C35}"/>
    <hyperlink ref="Q35" r:id="rId139" xr:uid="{30804FB3-B7C9-4547-BDBA-0FAC09A1D4EF}"/>
    <hyperlink ref="Q16" r:id="rId140" xr:uid="{AD2046A7-E68B-4C87-A87B-8DD859E02203}"/>
    <hyperlink ref="Q24" r:id="rId141" xr:uid="{6027DBE0-8CA0-4E4C-BCA4-D006F651A388}"/>
    <hyperlink ref="Q26" r:id="rId142" xr:uid="{D88354CC-DAD6-4940-BBB4-D9AA94B0C0B5}"/>
    <hyperlink ref="Q28" r:id="rId143" xr:uid="{149EF9C6-2424-4455-9CCD-75B12C10C160}"/>
    <hyperlink ref="Q20" r:id="rId144" xr:uid="{7E9FC371-8C16-446F-B555-B268F38135C6}"/>
    <hyperlink ref="Q27" r:id="rId145" xr:uid="{4738769C-8D11-4CE4-AADC-C7F0C85D2BD4}"/>
    <hyperlink ref="Q18" r:id="rId146" xr:uid="{82601437-6CFE-4BAA-9C87-83743E022E63}"/>
    <hyperlink ref="Q30" r:id="rId147" xr:uid="{F6FDE800-56E3-4799-BC94-F0F0C8C68C2B}"/>
    <hyperlink ref="Q19" r:id="rId148" xr:uid="{05ACC1FF-5A79-4346-8C1D-77976CFAA213}"/>
    <hyperlink ref="Q17" r:id="rId149" xr:uid="{0E1ED38C-9ADB-4B77-A9D0-FE70AAEF692C}"/>
    <hyperlink ref="Q29" r:id="rId150" xr:uid="{1FB97F7E-3EB4-4F34-BE51-10BFFC853F62}"/>
    <hyperlink ref="Q25" r:id="rId151" xr:uid="{EEE8094E-6FBF-421A-AE89-CC33CA6E78BE}"/>
    <hyperlink ref="Q21" r:id="rId152" xr:uid="{77D4FE0D-8F9F-4F61-8D06-7B6FE7583F52}"/>
    <hyperlink ref="Q22" r:id="rId153" xr:uid="{7A27D31E-B1EE-4D5F-9B98-2BF1AE202506}"/>
    <hyperlink ref="Q3" r:id="rId154" xr:uid="{5B64D0D0-1C5A-4944-9789-7393151A8018}"/>
    <hyperlink ref="Q4" r:id="rId155" xr:uid="{AF84861C-D73E-485E-9A1D-898DC2615E91}"/>
    <hyperlink ref="Q6" r:id="rId156" xr:uid="{1EF3FE36-D04E-4229-A49E-20D8997D7AEC}"/>
    <hyperlink ref="Q5" r:id="rId157" xr:uid="{F83C234B-9F22-46F7-97AC-9EBAA4540B5E}"/>
    <hyperlink ref="Q8" r:id="rId158" xr:uid="{BF92032B-E111-4885-8345-CD5DB2FF5D2F}"/>
    <hyperlink ref="Q9" r:id="rId159" xr:uid="{91DC27D7-2105-4A7E-BB0D-DFCE5C217C5A}"/>
    <hyperlink ref="Q7" r:id="rId160" xr:uid="{FFD98132-725C-43AC-B872-F05886424AC9}"/>
    <hyperlink ref="Q23" r:id="rId161" xr:uid="{96C5707F-AAFE-499B-BAA9-E23F03EB1C13}"/>
    <hyperlink ref="Q10" r:id="rId162" xr:uid="{7103FA76-4846-4B6E-B60E-8C20B7A8F458}"/>
    <hyperlink ref="Q2" r:id="rId163" xr:uid="{C147A8D2-C7F2-41E5-957F-6F509A0AC44F}"/>
    <hyperlink ref="Q182" r:id="rId164" xr:uid="{DE7D6A4D-555F-445A-8D80-03996B79458C}"/>
    <hyperlink ref="Q210" r:id="rId165" xr:uid="{0DCE3FCF-24DC-401C-B938-C62750632C48}"/>
    <hyperlink ref="Q207" r:id="rId166" xr:uid="{07813817-AEC7-40EC-8F55-5C732ACC1028}"/>
    <hyperlink ref="Q221" r:id="rId167" xr:uid="{A8D9DEE6-8E0C-4C84-8477-8B6D0E39EDCE}"/>
    <hyperlink ref="Q216" r:id="rId168" xr:uid="{35753507-59C4-4C6C-962F-861F4D010A9D}"/>
    <hyperlink ref="Q217" r:id="rId169" xr:uid="{32235931-22F5-419E-9801-4EE078B0A12D}"/>
    <hyperlink ref="Q220" r:id="rId170" xr:uid="{71176BCE-A5EA-40D7-9735-F78DB1B1CAB8}"/>
    <hyperlink ref="Q219" r:id="rId171" xr:uid="{D8B73911-68E1-46FE-ACBD-13A8B6F99A63}"/>
    <hyperlink ref="Q218" r:id="rId172" xr:uid="{4150D96B-AA9A-4A92-8561-08CA6BFA7A2F}"/>
    <hyperlink ref="Q185" r:id="rId173" xr:uid="{F056DFB7-A253-4FA5-9136-A94C3BE03887}"/>
    <hyperlink ref="Q184" r:id="rId174" xr:uid="{8208D997-349B-467C-99D7-34B8433269B8}"/>
    <hyperlink ref="Q183" r:id="rId175" xr:uid="{0FF3BB60-8B43-4AC7-BA81-DA6F89E26A24}"/>
    <hyperlink ref="Q213" r:id="rId176" xr:uid="{C8B6793F-0F82-4BC6-8E81-E46BA348D66B}"/>
    <hyperlink ref="Q203" r:id="rId177" xr:uid="{50BD2CEF-7FCE-4FF8-A282-9BD1416D04D9}"/>
    <hyperlink ref="Q190" r:id="rId178" xr:uid="{1610AD14-97D6-4666-8C6D-EC64714BFE52}"/>
    <hyperlink ref="Q208" r:id="rId179" xr:uid="{EE9FF9DB-4A12-4700-BA00-68D07903B7B3}"/>
    <hyperlink ref="Q192" r:id="rId180" xr:uid="{5DC4E0B5-067A-400D-9ECE-89D0AAD4DC87}"/>
    <hyperlink ref="Q201" r:id="rId181" xr:uid="{B069C308-B710-4B5F-A35A-FCE8F9A297B1}"/>
    <hyperlink ref="Q204" r:id="rId182" xr:uid="{84A48E94-B295-45FE-990C-77AE1FA9A5FB}"/>
    <hyperlink ref="Q198" r:id="rId183" xr:uid="{BC67AD97-81AD-4517-9C00-B03749F753DE}"/>
    <hyperlink ref="Q195" r:id="rId184" xr:uid="{3FA77B81-CB34-4B6A-A874-4C93F65A338A}"/>
    <hyperlink ref="Q194" r:id="rId185" xr:uid="{BC82EF3D-42A6-496A-934C-B2C8AE9CAEDC}"/>
    <hyperlink ref="Q196" r:id="rId186" xr:uid="{A18B697B-ABFF-4A7A-B648-C401BC78A755}"/>
    <hyperlink ref="Q186" r:id="rId187" xr:uid="{510A53FC-C87E-4201-A63E-9E09A6342C73}"/>
    <hyperlink ref="Q189" r:id="rId188" xr:uid="{17B18766-E143-482E-9EBE-5DF7DE24A8B6}"/>
    <hyperlink ref="Q187" r:id="rId189" xr:uid="{74B66072-8D40-4E2F-B8A0-7B407878B449}"/>
    <hyperlink ref="Q202" r:id="rId190" xr:uid="{700D39F9-EDDB-47B6-BBC1-268F7ACEFC25}"/>
    <hyperlink ref="Q209" r:id="rId191" xr:uid="{D67548F6-CCF0-406E-902D-2C04EC05FB26}"/>
    <hyperlink ref="Q197" r:id="rId192" xr:uid="{DBA53827-73E5-4F96-8401-46F9E5AEA167}"/>
    <hyperlink ref="Q205" r:id="rId193" xr:uid="{5B9EFF59-FEE4-4E7E-AD21-F41AB40AD0F9}"/>
    <hyperlink ref="Q193" r:id="rId194" xr:uid="{FF8DCDC4-5F2D-49FC-B8BC-7A63F766F019}"/>
    <hyperlink ref="Q200" r:id="rId195" xr:uid="{59968C88-A571-42AE-8547-81C40193E5D8}"/>
    <hyperlink ref="Q222" r:id="rId196" xr:uid="{4FEB89AC-5F66-4452-9382-2FEAA62F5CFC}"/>
    <hyperlink ref="Q199" r:id="rId197" xr:uid="{F476D55C-7687-458A-AEFD-2083E1AF66E8}"/>
    <hyperlink ref="Q188" r:id="rId198" xr:uid="{DDE0FE4D-9625-44E8-8DA7-4A7C051B9BFC}"/>
    <hyperlink ref="Q211" r:id="rId199" xr:uid="{0D82DDA1-F960-4CFD-AC84-C2B97006A1F1}"/>
    <hyperlink ref="Q206" r:id="rId200" xr:uid="{1FF7BCCE-54DA-45F6-9F0C-6589F7907B28}"/>
    <hyperlink ref="Q191" r:id="rId201" xr:uid="{B3B16576-A34D-4726-A47A-35B63E444E4C}"/>
    <hyperlink ref="Q214" r:id="rId202" xr:uid="{047E21DD-7C52-45A8-9188-61F0EC820DA0}"/>
    <hyperlink ref="Q215" r:id="rId203" xr:uid="{5E3DB3F6-5988-4FF0-A657-65B40D8754B8}"/>
    <hyperlink ref="Q212" r:id="rId204" xr:uid="{0924A170-8778-4C20-B334-B984493ABDF9}"/>
    <hyperlink ref="Q152" r:id="rId205" xr:uid="{4FEB844F-91F6-4D40-BADF-E7E7382B88E6}"/>
    <hyperlink ref="Q150" r:id="rId206" xr:uid="{49F8620C-C29B-44CB-A2E5-34A37F40B19B}"/>
    <hyperlink ref="Q167" r:id="rId207" xr:uid="{72B63165-20DD-43CF-8CD0-BF172B86CA15}"/>
    <hyperlink ref="Q155" r:id="rId208" xr:uid="{76C43036-1E96-42A5-99DB-5E80F95DFB94}"/>
    <hyperlink ref="Q146" r:id="rId209" xr:uid="{5E333620-574D-4025-8F33-22E0778348B3}"/>
    <hyperlink ref="Q149" r:id="rId210" xr:uid="{903A5B78-C6FB-4847-80D1-C920B39FD07C}"/>
    <hyperlink ref="Q139" r:id="rId211" xr:uid="{621A2E10-608C-4FD6-9690-61CDB5B585AC}"/>
    <hyperlink ref="Q140" r:id="rId212" xr:uid="{E23B6BBA-8FAA-4C46-9705-5B7408F53383}"/>
    <hyperlink ref="Q151" r:id="rId213" xr:uid="{B8760A68-72E7-4D50-9306-6B95FE5CC2D7}"/>
    <hyperlink ref="Q154" r:id="rId214" xr:uid="{FE0A721C-FA49-4558-ADE3-4F52DC7797C8}"/>
    <hyperlink ref="Q153" r:id="rId215" xr:uid="{3A259EA8-48AB-4BFC-9EDF-54FB2817CD84}"/>
    <hyperlink ref="Q141" r:id="rId216" xr:uid="{5717A948-1217-4C28-B14A-59768A8EB5EF}"/>
    <hyperlink ref="Q173" r:id="rId217" xr:uid="{201142FE-706B-4098-8A8A-6D6F8ECF5924}"/>
    <hyperlink ref="Q145" r:id="rId218" xr:uid="{43CE607D-6FED-45AE-9846-9D3686C4A633}"/>
    <hyperlink ref="Q147" r:id="rId219" xr:uid="{A7C58BDE-DC98-4CF1-8513-04E8AE77AFF7}"/>
    <hyperlink ref="Q157" r:id="rId220" xr:uid="{AB5D9E7B-490E-455B-8982-DC27F0C53504}"/>
    <hyperlink ref="Q168" r:id="rId221" xr:uid="{FF19C3D5-CA22-4FC8-8A13-D5BFD9BEA7DA}"/>
    <hyperlink ref="Q137" r:id="rId222" xr:uid="{58F278EA-74EE-4A5E-AF55-9DCEDD07AED9}"/>
    <hyperlink ref="Q148" r:id="rId223" xr:uid="{8F822288-53FA-43F4-A2BC-E9E92ACCCF26}"/>
    <hyperlink ref="Q156" r:id="rId224" xr:uid="{D4FA7A1A-0729-412D-90D9-40F31DA28FA9}"/>
    <hyperlink ref="Q164" r:id="rId225" xr:uid="{811A22CC-109D-4179-BBF2-D07CEFAA10BD}"/>
    <hyperlink ref="Q171" r:id="rId226" xr:uid="{C2EB914A-0921-457F-8ED1-B1AB3FF55F63}"/>
    <hyperlink ref="Q178" r:id="rId227" xr:uid="{CDB4D988-7094-48C4-A1D0-8F618FCE7BC7}"/>
    <hyperlink ref="Q180" r:id="rId228" xr:uid="{7DB2C80C-7424-4B11-A8E3-5F7AA506A7C4}"/>
    <hyperlink ref="Q181" r:id="rId229" xr:uid="{3B8AD20B-A139-4D60-A350-CA79F3BCB8AC}"/>
    <hyperlink ref="Q142" r:id="rId230" xr:uid="{C471B2FA-61A8-46F4-926F-40567E5451D6}"/>
    <hyperlink ref="Q172" r:id="rId231" xr:uid="{C75C8905-8819-4F58-8AC8-54E56BFC1299}"/>
    <hyperlink ref="Q135" r:id="rId232" xr:uid="{99DE14B2-816A-44ED-A5D9-578204359392}"/>
    <hyperlink ref="Q136" r:id="rId233" xr:uid="{215E2FD7-DB81-44CA-A8C6-729ED349ED67}"/>
    <hyperlink ref="Q144" r:id="rId234" xr:uid="{E6DDDFE3-0631-4CE0-A076-091DEA7A2C25}"/>
    <hyperlink ref="Q158" r:id="rId235" xr:uid="{A104D333-1B6E-4B59-802A-E72882D34A6E}"/>
    <hyperlink ref="Q160" r:id="rId236" xr:uid="{6049E49D-BE2F-476C-BD38-CDFC356EC18B}"/>
    <hyperlink ref="Q174" r:id="rId237" xr:uid="{74B99A26-9CD1-4792-8EF6-76F4C892A00C}"/>
    <hyperlink ref="Q165" r:id="rId238" xr:uid="{33FE3B1F-25CF-48D0-96A7-B15DA27CD98A}"/>
    <hyperlink ref="Q161" r:id="rId239" xr:uid="{8264C3D9-7970-4A33-BB62-258E3104FEDC}"/>
    <hyperlink ref="Q163" r:id="rId240" xr:uid="{C788C3E1-9F08-4ECD-9AB1-21E2A4BDBE33}"/>
    <hyperlink ref="Q175" r:id="rId241" xr:uid="{48C6A57B-1ECD-48A1-B199-A852506679A4}"/>
    <hyperlink ref="Q159" r:id="rId242" xr:uid="{FE71C21D-F5A8-425D-BBC1-32A520046900}"/>
    <hyperlink ref="Q143" r:id="rId243" xr:uid="{4C2DEA2A-6D5A-4EC1-B7AC-D6C1498037D3}"/>
    <hyperlink ref="Q138" r:id="rId244" xr:uid="{089D5759-5D31-4DA7-912E-022519B81AD9}"/>
    <hyperlink ref="Q170" r:id="rId245" xr:uid="{79A6936C-1414-4779-BF21-6429834D713C}"/>
    <hyperlink ref="Q179" r:id="rId246" xr:uid="{631F3C19-E77D-43E3-BE5E-48A2D10CA2E4}"/>
    <hyperlink ref="Q169" r:id="rId247" xr:uid="{14B53A51-97EC-4F2F-A42B-95E8552CF2CA}"/>
    <hyperlink ref="Q176" r:id="rId248" xr:uid="{CEB9A18F-3513-400D-8BDB-A2D8B42A8BF3}"/>
    <hyperlink ref="Q177" r:id="rId249" xr:uid="{C86CB777-495C-4B9B-AC69-7BFFD922505E}"/>
    <hyperlink ref="Q162" r:id="rId250" xr:uid="{CFBFEC99-B1F9-4D17-9041-9F40605B44D1}"/>
    <hyperlink ref="Q166" r:id="rId251" xr:uid="{727FCE82-A424-46A3-9F94-6030DC4570EF}"/>
  </hyperlinks>
  <pageMargins left="0.7" right="0.7" top="0.75" bottom="0.75" header="0.3" footer="0.3"/>
  <pageSetup paperSize="9" orientation="portrait" r:id="rId252"/>
  <legacyDrawing r:id="rId25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F26A8-1875-4E33-83E7-A16B20AF3198}">
  <sheetPr filterMode="1"/>
  <dimension ref="A1:AE271"/>
  <sheetViews>
    <sheetView tabSelected="1" zoomScale="80" zoomScaleNormal="80" workbookViewId="0">
      <pane ySplit="1" topLeftCell="A2" activePane="bottomLeft" state="frozen"/>
      <selection pane="bottomLeft" activeCell="C2" sqref="C2:C222"/>
    </sheetView>
  </sheetViews>
  <sheetFormatPr baseColWidth="10" defaultColWidth="8.5" defaultRowHeight="15" customHeight="1" outlineLevelCol="1" x14ac:dyDescent="0.2"/>
  <cols>
    <col min="1" max="1" width="15.5" bestFit="1" customWidth="1"/>
    <col min="2" max="2" width="23.1640625" customWidth="1"/>
    <col min="3" max="3" width="19.5" bestFit="1" customWidth="1"/>
    <col min="4" max="5" width="13.1640625" customWidth="1"/>
    <col min="6" max="6" width="23.1640625" customWidth="1"/>
    <col min="7" max="7" width="66" customWidth="1"/>
    <col min="8" max="8" width="63.5" customWidth="1" outlineLevel="1"/>
    <col min="9" max="9" width="14.1640625" customWidth="1" outlineLevel="1"/>
    <col min="10" max="10" width="42.5" customWidth="1" outlineLevel="1"/>
    <col min="11" max="11" width="14.1640625" customWidth="1" outlineLevel="1"/>
    <col min="12" max="12" width="23" style="53" customWidth="1" outlineLevel="1"/>
    <col min="13" max="13" width="35.5" customWidth="1" outlineLevel="1"/>
    <col min="14" max="14" width="30.5" customWidth="1" outlineLevel="1"/>
    <col min="15" max="15" width="35.5" customWidth="1"/>
    <col min="16" max="16" width="13.83203125" customWidth="1" outlineLevel="1"/>
    <col min="17" max="17" width="16.5" customWidth="1" outlineLevel="1"/>
    <col min="18" max="18" width="11" customWidth="1" outlineLevel="1"/>
    <col min="19" max="19" width="16.5" style="1" customWidth="1" outlineLevel="1"/>
    <col min="20" max="20" width="17.5" customWidth="1" outlineLevel="1"/>
    <col min="21" max="21" width="16.5" style="16" customWidth="1" outlineLevel="1"/>
    <col min="22" max="22" width="16.5" style="49" customWidth="1" outlineLevel="1"/>
    <col min="23" max="23" width="19" customWidth="1"/>
    <col min="24" max="24" width="8.5" customWidth="1" outlineLevel="1"/>
    <col min="25" max="25" width="15.83203125" customWidth="1" outlineLevel="1"/>
    <col min="26" max="26" width="18.6640625" customWidth="1" outlineLevel="1"/>
    <col min="27" max="27" width="11.33203125" customWidth="1"/>
    <col min="28" max="28" width="10.83203125" customWidth="1"/>
    <col min="29" max="29" width="11.83203125" customWidth="1"/>
  </cols>
  <sheetData>
    <row r="1" spans="1:31" ht="48" x14ac:dyDescent="0.2">
      <c r="A1" s="32" t="s">
        <v>11</v>
      </c>
      <c r="B1" s="33" t="s">
        <v>12</v>
      </c>
      <c r="C1" s="79" t="s">
        <v>1016</v>
      </c>
      <c r="D1" s="79" t="s">
        <v>1017</v>
      </c>
      <c r="E1" s="79" t="s">
        <v>1018</v>
      </c>
      <c r="F1" s="33" t="s">
        <v>13</v>
      </c>
      <c r="G1" s="32" t="s">
        <v>14</v>
      </c>
      <c r="H1" s="32" t="s">
        <v>15</v>
      </c>
      <c r="I1" s="32" t="s">
        <v>16</v>
      </c>
      <c r="J1" s="32" t="s">
        <v>17</v>
      </c>
      <c r="K1" s="32" t="s">
        <v>18</v>
      </c>
      <c r="L1" s="51" t="s">
        <v>19</v>
      </c>
      <c r="M1" s="32" t="s">
        <v>1019</v>
      </c>
      <c r="N1" s="72" t="s">
        <v>1020</v>
      </c>
      <c r="O1" s="72" t="s">
        <v>1021</v>
      </c>
      <c r="P1" s="72" t="s">
        <v>1022</v>
      </c>
      <c r="Q1" s="32" t="s">
        <v>21</v>
      </c>
      <c r="R1" s="32" t="s">
        <v>22</v>
      </c>
      <c r="S1" s="34" t="s">
        <v>23</v>
      </c>
      <c r="T1" s="32" t="s">
        <v>24</v>
      </c>
      <c r="U1" s="35" t="s">
        <v>25</v>
      </c>
      <c r="V1" s="46" t="s">
        <v>26</v>
      </c>
      <c r="W1" s="27" t="s">
        <v>27</v>
      </c>
      <c r="X1" s="27" t="s">
        <v>28</v>
      </c>
      <c r="Y1" s="74" t="s">
        <v>1023</v>
      </c>
      <c r="Z1" s="76" t="s">
        <v>1024</v>
      </c>
      <c r="AA1" s="74" t="s">
        <v>1025</v>
      </c>
      <c r="AB1" s="74" t="s">
        <v>1026</v>
      </c>
      <c r="AC1" s="74" t="s">
        <v>1027</v>
      </c>
      <c r="AE1" s="74" t="s">
        <v>1028</v>
      </c>
    </row>
    <row r="2" spans="1:31" x14ac:dyDescent="0.2">
      <c r="A2" s="36" t="s">
        <v>29</v>
      </c>
      <c r="B2" s="36" t="s">
        <v>30</v>
      </c>
      <c r="C2" s="36" t="s">
        <v>1029</v>
      </c>
      <c r="D2" s="36"/>
      <c r="E2" s="36"/>
      <c r="F2" s="36" t="s">
        <v>31</v>
      </c>
      <c r="G2" s="36" t="s">
        <v>32</v>
      </c>
      <c r="H2" s="36" t="s">
        <v>33</v>
      </c>
      <c r="I2" s="36" t="s">
        <v>34</v>
      </c>
      <c r="J2" s="36" t="s">
        <v>35</v>
      </c>
      <c r="K2" s="36" t="s">
        <v>36</v>
      </c>
      <c r="L2" s="52" t="s">
        <v>37</v>
      </c>
      <c r="M2" s="36" t="s">
        <v>38</v>
      </c>
      <c r="N2" s="36" t="s">
        <v>1030</v>
      </c>
      <c r="O2" s="36" t="s">
        <v>38</v>
      </c>
      <c r="P2" s="36" t="s">
        <v>1031</v>
      </c>
      <c r="Q2" s="36" t="s">
        <v>39</v>
      </c>
      <c r="R2" s="36" t="s">
        <v>8</v>
      </c>
      <c r="S2" s="37" t="s">
        <v>40</v>
      </c>
      <c r="T2" s="38">
        <v>323195</v>
      </c>
      <c r="U2" s="39">
        <v>504855.4</v>
      </c>
      <c r="V2" s="47">
        <v>504855.4</v>
      </c>
      <c r="W2" s="28" t="s">
        <v>41</v>
      </c>
      <c r="X2" s="29" t="s">
        <v>42</v>
      </c>
    </row>
    <row r="3" spans="1:31" x14ac:dyDescent="0.2">
      <c r="A3" s="36" t="s">
        <v>43</v>
      </c>
      <c r="B3" s="36" t="s">
        <v>30</v>
      </c>
      <c r="C3" s="36" t="s">
        <v>1029</v>
      </c>
      <c r="D3" s="36"/>
      <c r="E3" s="36"/>
      <c r="F3" s="36" t="s">
        <v>31</v>
      </c>
      <c r="G3" s="36" t="s">
        <v>44</v>
      </c>
      <c r="H3" s="36" t="s">
        <v>45</v>
      </c>
      <c r="I3" s="36" t="s">
        <v>46</v>
      </c>
      <c r="J3" s="36" t="s">
        <v>35</v>
      </c>
      <c r="K3" s="36" t="s">
        <v>36</v>
      </c>
      <c r="L3" s="52" t="s">
        <v>47</v>
      </c>
      <c r="M3" s="36" t="s">
        <v>48</v>
      </c>
      <c r="N3" s="36" t="s">
        <v>1030</v>
      </c>
      <c r="O3" s="36" t="s">
        <v>48</v>
      </c>
      <c r="P3" s="36" t="s">
        <v>1031</v>
      </c>
      <c r="Q3" s="36" t="s">
        <v>39</v>
      </c>
      <c r="R3" s="36" t="s">
        <v>9</v>
      </c>
      <c r="S3" s="37" t="s">
        <v>49</v>
      </c>
      <c r="T3" s="38">
        <v>9385397.9900000002</v>
      </c>
      <c r="U3" s="39">
        <v>10360135.550000001</v>
      </c>
      <c r="V3" s="47">
        <v>10360135.550000001</v>
      </c>
      <c r="W3" s="28" t="s">
        <v>50</v>
      </c>
      <c r="X3" s="29" t="s">
        <v>51</v>
      </c>
    </row>
    <row r="4" spans="1:31" x14ac:dyDescent="0.2">
      <c r="A4" s="36" t="s">
        <v>52</v>
      </c>
      <c r="B4" s="36" t="s">
        <v>30</v>
      </c>
      <c r="C4" s="36" t="s">
        <v>1029</v>
      </c>
      <c r="D4" s="36"/>
      <c r="E4" s="36"/>
      <c r="F4" s="36" t="s">
        <v>31</v>
      </c>
      <c r="G4" s="36" t="s">
        <v>53</v>
      </c>
      <c r="H4" s="36" t="s">
        <v>54</v>
      </c>
      <c r="I4" s="36" t="s">
        <v>55</v>
      </c>
      <c r="J4" s="36" t="s">
        <v>56</v>
      </c>
      <c r="K4" s="36" t="s">
        <v>36</v>
      </c>
      <c r="L4" s="52" t="s">
        <v>37</v>
      </c>
      <c r="M4" s="36" t="s">
        <v>48</v>
      </c>
      <c r="N4" s="36" t="s">
        <v>1030</v>
      </c>
      <c r="O4" s="36" t="s">
        <v>48</v>
      </c>
      <c r="P4" s="36" t="s">
        <v>1031</v>
      </c>
      <c r="Q4" s="36" t="s">
        <v>57</v>
      </c>
      <c r="R4" s="36" t="s">
        <v>9</v>
      </c>
      <c r="S4" s="37" t="s">
        <v>49</v>
      </c>
      <c r="T4" s="38">
        <v>5434990</v>
      </c>
      <c r="U4" s="39">
        <v>6584205.8200000003</v>
      </c>
      <c r="V4" s="47">
        <v>6584205.8200000003</v>
      </c>
      <c r="W4" s="28" t="s">
        <v>58</v>
      </c>
      <c r="X4" s="29" t="s">
        <v>51</v>
      </c>
    </row>
    <row r="5" spans="1:31" x14ac:dyDescent="0.2">
      <c r="A5" s="36" t="s">
        <v>59</v>
      </c>
      <c r="B5" s="36" t="s">
        <v>30</v>
      </c>
      <c r="C5" s="36" t="s">
        <v>1029</v>
      </c>
      <c r="D5" s="36"/>
      <c r="E5" s="36"/>
      <c r="F5" s="36" t="s">
        <v>31</v>
      </c>
      <c r="G5" s="36" t="s">
        <v>60</v>
      </c>
      <c r="H5" s="36" t="s">
        <v>61</v>
      </c>
      <c r="I5" s="36" t="s">
        <v>55</v>
      </c>
      <c r="J5" s="36" t="s">
        <v>56</v>
      </c>
      <c r="K5" s="36" t="s">
        <v>36</v>
      </c>
      <c r="L5" s="52" t="s">
        <v>37</v>
      </c>
      <c r="M5" s="36" t="s">
        <v>48</v>
      </c>
      <c r="N5" s="36" t="s">
        <v>1030</v>
      </c>
      <c r="O5" s="36" t="s">
        <v>48</v>
      </c>
      <c r="P5" s="36" t="s">
        <v>1031</v>
      </c>
      <c r="Q5" s="36" t="s">
        <v>57</v>
      </c>
      <c r="R5" s="36" t="s">
        <v>8</v>
      </c>
      <c r="S5" s="37" t="s">
        <v>49</v>
      </c>
      <c r="T5" s="38">
        <v>947699.77</v>
      </c>
      <c r="U5" s="39">
        <v>944762.5</v>
      </c>
      <c r="V5" s="47">
        <v>944762.5</v>
      </c>
      <c r="W5" s="28" t="s">
        <v>62</v>
      </c>
      <c r="X5" s="29" t="s">
        <v>51</v>
      </c>
    </row>
    <row r="6" spans="1:31" x14ac:dyDescent="0.2">
      <c r="A6" s="36" t="s">
        <v>63</v>
      </c>
      <c r="B6" s="36" t="s">
        <v>30</v>
      </c>
      <c r="C6" s="36" t="s">
        <v>1029</v>
      </c>
      <c r="D6" s="36"/>
      <c r="E6" s="36"/>
      <c r="F6" s="36" t="s">
        <v>31</v>
      </c>
      <c r="G6" s="36" t="s">
        <v>60</v>
      </c>
      <c r="H6" s="36" t="s">
        <v>61</v>
      </c>
      <c r="I6" s="36" t="s">
        <v>55</v>
      </c>
      <c r="J6" s="36" t="s">
        <v>56</v>
      </c>
      <c r="K6" s="36" t="s">
        <v>36</v>
      </c>
      <c r="L6" s="52" t="s">
        <v>37</v>
      </c>
      <c r="M6" s="36" t="s">
        <v>48</v>
      </c>
      <c r="N6" s="36" t="s">
        <v>1030</v>
      </c>
      <c r="O6" s="36" t="s">
        <v>48</v>
      </c>
      <c r="P6" s="36" t="s">
        <v>1031</v>
      </c>
      <c r="Q6" s="36" t="s">
        <v>57</v>
      </c>
      <c r="R6" s="36" t="s">
        <v>9</v>
      </c>
      <c r="S6" s="37" t="s">
        <v>49</v>
      </c>
      <c r="T6" s="38">
        <v>4391572</v>
      </c>
      <c r="U6" s="39">
        <v>5554778.4800000004</v>
      </c>
      <c r="V6" s="47">
        <v>5554778.4800000004</v>
      </c>
      <c r="W6" s="28" t="s">
        <v>64</v>
      </c>
      <c r="X6" s="29" t="s">
        <v>51</v>
      </c>
    </row>
    <row r="7" spans="1:31" x14ac:dyDescent="0.2">
      <c r="A7" s="36" t="s">
        <v>65</v>
      </c>
      <c r="B7" s="36" t="s">
        <v>30</v>
      </c>
      <c r="C7" s="36" t="s">
        <v>1029</v>
      </c>
      <c r="D7" s="36"/>
      <c r="E7" s="36"/>
      <c r="F7" s="36" t="s">
        <v>31</v>
      </c>
      <c r="G7" s="36" t="s">
        <v>66</v>
      </c>
      <c r="H7" s="36" t="s">
        <v>67</v>
      </c>
      <c r="I7" s="36" t="s">
        <v>68</v>
      </c>
      <c r="J7" s="36" t="s">
        <v>35</v>
      </c>
      <c r="K7" s="36" t="s">
        <v>36</v>
      </c>
      <c r="L7" s="52" t="s">
        <v>47</v>
      </c>
      <c r="M7" s="36" t="s">
        <v>48</v>
      </c>
      <c r="N7" s="36" t="s">
        <v>1030</v>
      </c>
      <c r="O7" s="36" t="s">
        <v>48</v>
      </c>
      <c r="P7" s="36" t="s">
        <v>1031</v>
      </c>
      <c r="Q7" s="36" t="s">
        <v>39</v>
      </c>
      <c r="R7" s="36" t="s">
        <v>5</v>
      </c>
      <c r="S7" s="37" t="s">
        <v>49</v>
      </c>
      <c r="T7" s="38">
        <v>243492</v>
      </c>
      <c r="U7" s="39">
        <v>243492</v>
      </c>
      <c r="V7" s="47">
        <v>243492</v>
      </c>
      <c r="W7" s="28" t="s">
        <v>69</v>
      </c>
      <c r="X7" s="29" t="s">
        <v>70</v>
      </c>
      <c r="AA7" s="78">
        <v>4</v>
      </c>
      <c r="AB7" s="78">
        <v>1</v>
      </c>
      <c r="AC7" s="78">
        <v>4</v>
      </c>
    </row>
    <row r="8" spans="1:31" x14ac:dyDescent="0.2">
      <c r="A8" s="36" t="s">
        <v>71</v>
      </c>
      <c r="B8" s="36" t="s">
        <v>30</v>
      </c>
      <c r="C8" s="36" t="s">
        <v>1029</v>
      </c>
      <c r="D8" s="36"/>
      <c r="E8" s="36"/>
      <c r="F8" s="36" t="s">
        <v>31</v>
      </c>
      <c r="G8" s="36" t="s">
        <v>66</v>
      </c>
      <c r="H8" s="36" t="s">
        <v>72</v>
      </c>
      <c r="I8" s="36" t="s">
        <v>55</v>
      </c>
      <c r="J8" s="36" t="s">
        <v>56</v>
      </c>
      <c r="K8" s="36" t="s">
        <v>36</v>
      </c>
      <c r="L8" s="52" t="s">
        <v>47</v>
      </c>
      <c r="M8" s="36" t="s">
        <v>48</v>
      </c>
      <c r="N8" s="36" t="s">
        <v>1030</v>
      </c>
      <c r="O8" s="36" t="s">
        <v>48</v>
      </c>
      <c r="P8" s="36" t="s">
        <v>1031</v>
      </c>
      <c r="Q8" s="36" t="s">
        <v>39</v>
      </c>
      <c r="R8" s="36" t="s">
        <v>8</v>
      </c>
      <c r="S8" s="37" t="s">
        <v>49</v>
      </c>
      <c r="T8" s="38">
        <v>364741</v>
      </c>
      <c r="U8" s="39">
        <v>5456.48</v>
      </c>
      <c r="V8" s="47">
        <v>5456.48</v>
      </c>
      <c r="W8" s="28" t="s">
        <v>73</v>
      </c>
      <c r="X8" s="29" t="s">
        <v>51</v>
      </c>
    </row>
    <row r="9" spans="1:31" x14ac:dyDescent="0.2">
      <c r="A9" s="36" t="s">
        <v>74</v>
      </c>
      <c r="B9" s="36" t="s">
        <v>30</v>
      </c>
      <c r="C9" s="36" t="s">
        <v>1029</v>
      </c>
      <c r="D9" s="36"/>
      <c r="E9" s="36"/>
      <c r="F9" s="36" t="s">
        <v>31</v>
      </c>
      <c r="G9" s="36" t="s">
        <v>66</v>
      </c>
      <c r="H9" s="36" t="s">
        <v>67</v>
      </c>
      <c r="I9" s="36" t="s">
        <v>68</v>
      </c>
      <c r="J9" s="36" t="s">
        <v>35</v>
      </c>
      <c r="K9" s="36" t="s">
        <v>36</v>
      </c>
      <c r="L9" s="52" t="s">
        <v>47</v>
      </c>
      <c r="M9" s="36" t="s">
        <v>48</v>
      </c>
      <c r="N9" s="36" t="s">
        <v>1030</v>
      </c>
      <c r="O9" s="36" t="s">
        <v>48</v>
      </c>
      <c r="P9" s="36" t="s">
        <v>1031</v>
      </c>
      <c r="Q9" s="36" t="s">
        <v>39</v>
      </c>
      <c r="R9" s="36" t="s">
        <v>5</v>
      </c>
      <c r="S9" s="37" t="s">
        <v>49</v>
      </c>
      <c r="T9" s="38">
        <v>8472026.4900000002</v>
      </c>
      <c r="U9" s="39">
        <v>16978954.550000001</v>
      </c>
      <c r="V9" s="47">
        <v>16978954.550000001</v>
      </c>
      <c r="W9" s="28" t="s">
        <v>75</v>
      </c>
      <c r="X9" s="29" t="s">
        <v>51</v>
      </c>
      <c r="AA9" s="78">
        <v>4</v>
      </c>
      <c r="AB9" s="78">
        <v>1</v>
      </c>
      <c r="AC9" s="78">
        <v>4</v>
      </c>
    </row>
    <row r="10" spans="1:31" x14ac:dyDescent="0.2">
      <c r="A10" s="36" t="s">
        <v>76</v>
      </c>
      <c r="B10" s="36" t="s">
        <v>30</v>
      </c>
      <c r="C10" s="36" t="s">
        <v>1029</v>
      </c>
      <c r="D10" s="36"/>
      <c r="E10" s="36"/>
      <c r="F10" s="36" t="s">
        <v>31</v>
      </c>
      <c r="G10" s="36" t="s">
        <v>77</v>
      </c>
      <c r="H10" s="36" t="s">
        <v>78</v>
      </c>
      <c r="I10" s="36" t="s">
        <v>55</v>
      </c>
      <c r="J10" s="36" t="s">
        <v>56</v>
      </c>
      <c r="K10" s="36" t="s">
        <v>36</v>
      </c>
      <c r="L10" s="52" t="s">
        <v>47</v>
      </c>
      <c r="M10" s="36" t="s">
        <v>79</v>
      </c>
      <c r="N10" s="36" t="s">
        <v>1032</v>
      </c>
      <c r="O10" s="36"/>
      <c r="P10" s="36" t="s">
        <v>1031</v>
      </c>
      <c r="Q10" s="36" t="s">
        <v>57</v>
      </c>
      <c r="R10" s="36" t="s">
        <v>9</v>
      </c>
      <c r="S10" s="37" t="s">
        <v>80</v>
      </c>
      <c r="T10" s="38">
        <v>99995</v>
      </c>
      <c r="U10" s="36">
        <v>0</v>
      </c>
      <c r="V10" s="48">
        <v>99995</v>
      </c>
      <c r="W10" s="28" t="s">
        <v>81</v>
      </c>
      <c r="X10" s="29" t="s">
        <v>82</v>
      </c>
      <c r="AE10" t="s">
        <v>1033</v>
      </c>
    </row>
    <row r="11" spans="1:31" x14ac:dyDescent="0.2">
      <c r="A11" s="36" t="s">
        <v>83</v>
      </c>
      <c r="B11" s="36" t="s">
        <v>30</v>
      </c>
      <c r="C11" s="36" t="s">
        <v>1029</v>
      </c>
      <c r="D11" s="36"/>
      <c r="E11" s="36"/>
      <c r="F11" s="36" t="s">
        <v>31</v>
      </c>
      <c r="G11" s="36" t="s">
        <v>84</v>
      </c>
      <c r="H11" s="36" t="s">
        <v>78</v>
      </c>
      <c r="I11" s="36" t="s">
        <v>55</v>
      </c>
      <c r="J11" s="36" t="s">
        <v>56</v>
      </c>
      <c r="K11" s="36" t="s">
        <v>36</v>
      </c>
      <c r="L11" s="52" t="s">
        <v>47</v>
      </c>
      <c r="M11" s="36" t="s">
        <v>85</v>
      </c>
      <c r="N11" s="36" t="s">
        <v>1032</v>
      </c>
      <c r="O11" s="36"/>
      <c r="P11" s="36" t="s">
        <v>1031</v>
      </c>
      <c r="Q11" s="36" t="s">
        <v>57</v>
      </c>
      <c r="R11" s="36" t="s">
        <v>5</v>
      </c>
      <c r="S11" s="37" t="s">
        <v>86</v>
      </c>
      <c r="T11" s="38">
        <v>5154996</v>
      </c>
      <c r="U11" s="39">
        <v>5271218.8</v>
      </c>
      <c r="V11" s="47">
        <v>5271218.8</v>
      </c>
      <c r="W11" s="28" t="s">
        <v>87</v>
      </c>
      <c r="X11" s="29" t="s">
        <v>88</v>
      </c>
      <c r="AA11" s="78">
        <v>1</v>
      </c>
      <c r="AB11" s="78">
        <v>1</v>
      </c>
      <c r="AC11" s="78">
        <v>1</v>
      </c>
    </row>
    <row r="12" spans="1:31" x14ac:dyDescent="0.2">
      <c r="A12" s="36" t="s">
        <v>89</v>
      </c>
      <c r="B12" s="36" t="s">
        <v>30</v>
      </c>
      <c r="C12" s="36" t="s">
        <v>1029</v>
      </c>
      <c r="D12" s="36"/>
      <c r="E12" s="36"/>
      <c r="F12" s="36" t="s">
        <v>31</v>
      </c>
      <c r="G12" s="36" t="s">
        <v>90</v>
      </c>
      <c r="H12" s="36" t="s">
        <v>91</v>
      </c>
      <c r="I12" s="36" t="s">
        <v>55</v>
      </c>
      <c r="J12" s="36" t="s">
        <v>56</v>
      </c>
      <c r="K12" s="36" t="s">
        <v>36</v>
      </c>
      <c r="L12" s="52" t="s">
        <v>37</v>
      </c>
      <c r="M12" s="36" t="s">
        <v>85</v>
      </c>
      <c r="N12" s="36" t="s">
        <v>1032</v>
      </c>
      <c r="O12" s="36"/>
      <c r="P12" s="36" t="s">
        <v>1031</v>
      </c>
      <c r="Q12" s="36" t="s">
        <v>39</v>
      </c>
      <c r="R12" s="36" t="s">
        <v>5</v>
      </c>
      <c r="S12" s="37" t="s">
        <v>86</v>
      </c>
      <c r="T12" s="38">
        <v>5150000</v>
      </c>
      <c r="U12" s="39">
        <v>5872782</v>
      </c>
      <c r="V12" s="47">
        <v>5872782</v>
      </c>
      <c r="W12" s="28" t="s">
        <v>92</v>
      </c>
      <c r="X12" s="29" t="s">
        <v>88</v>
      </c>
      <c r="AA12" s="78">
        <v>1</v>
      </c>
      <c r="AB12" s="78">
        <v>1</v>
      </c>
      <c r="AC12" s="78">
        <v>1</v>
      </c>
    </row>
    <row r="13" spans="1:31" x14ac:dyDescent="0.2">
      <c r="A13" s="36" t="s">
        <v>93</v>
      </c>
      <c r="B13" s="36" t="s">
        <v>30</v>
      </c>
      <c r="C13" s="36" t="s">
        <v>1029</v>
      </c>
      <c r="D13" s="36"/>
      <c r="E13" s="36"/>
      <c r="F13" s="36" t="s">
        <v>31</v>
      </c>
      <c r="G13" s="36" t="s">
        <v>94</v>
      </c>
      <c r="H13" s="36" t="s">
        <v>91</v>
      </c>
      <c r="I13" s="36" t="s">
        <v>55</v>
      </c>
      <c r="J13" s="36" t="s">
        <v>56</v>
      </c>
      <c r="K13" s="36" t="s">
        <v>36</v>
      </c>
      <c r="L13" s="52" t="s">
        <v>95</v>
      </c>
      <c r="M13" s="36" t="s">
        <v>85</v>
      </c>
      <c r="N13" s="36" t="s">
        <v>1032</v>
      </c>
      <c r="O13" s="36"/>
      <c r="P13" s="36" t="s">
        <v>1031</v>
      </c>
      <c r="Q13" s="36" t="s">
        <v>39</v>
      </c>
      <c r="R13" s="36" t="s">
        <v>5</v>
      </c>
      <c r="S13" s="37" t="s">
        <v>86</v>
      </c>
      <c r="T13" s="38">
        <v>5528492</v>
      </c>
      <c r="U13" s="39">
        <v>5528492</v>
      </c>
      <c r="V13" s="47">
        <v>5528492</v>
      </c>
      <c r="W13" s="28" t="s">
        <v>96</v>
      </c>
      <c r="X13" s="29" t="s">
        <v>88</v>
      </c>
      <c r="AA13">
        <v>1</v>
      </c>
      <c r="AB13">
        <v>1</v>
      </c>
      <c r="AC13">
        <v>1</v>
      </c>
    </row>
    <row r="14" spans="1:31" x14ac:dyDescent="0.2">
      <c r="A14" s="36" t="s">
        <v>97</v>
      </c>
      <c r="B14" s="36" t="s">
        <v>30</v>
      </c>
      <c r="C14" s="36" t="s">
        <v>1029</v>
      </c>
      <c r="D14" s="36"/>
      <c r="E14" s="36"/>
      <c r="F14" s="36" t="s">
        <v>31</v>
      </c>
      <c r="G14" s="36" t="s">
        <v>98</v>
      </c>
      <c r="H14" s="36" t="s">
        <v>99</v>
      </c>
      <c r="I14" s="36" t="s">
        <v>100</v>
      </c>
      <c r="J14" s="36" t="s">
        <v>35</v>
      </c>
      <c r="K14" s="36" t="s">
        <v>36</v>
      </c>
      <c r="L14" s="52" t="s">
        <v>101</v>
      </c>
      <c r="M14" s="36" t="s">
        <v>85</v>
      </c>
      <c r="N14" s="36" t="s">
        <v>1032</v>
      </c>
      <c r="O14" s="36"/>
      <c r="P14" s="36" t="s">
        <v>1031</v>
      </c>
      <c r="Q14" s="36" t="s">
        <v>39</v>
      </c>
      <c r="R14" s="36" t="s">
        <v>9</v>
      </c>
      <c r="S14" s="37" t="s">
        <v>86</v>
      </c>
      <c r="T14" s="38">
        <v>368829.7</v>
      </c>
      <c r="U14" s="39">
        <v>368829.7</v>
      </c>
      <c r="V14" s="47">
        <v>368829.7</v>
      </c>
      <c r="W14" s="28" t="s">
        <v>102</v>
      </c>
      <c r="X14" s="29" t="s">
        <v>88</v>
      </c>
    </row>
    <row r="15" spans="1:31" x14ac:dyDescent="0.2">
      <c r="A15" s="36" t="s">
        <v>103</v>
      </c>
      <c r="B15" s="36" t="s">
        <v>30</v>
      </c>
      <c r="C15" s="36" t="s">
        <v>1029</v>
      </c>
      <c r="D15" s="36"/>
      <c r="E15" s="36"/>
      <c r="F15" s="36" t="s">
        <v>31</v>
      </c>
      <c r="G15" s="36" t="s">
        <v>104</v>
      </c>
      <c r="H15" s="36" t="s">
        <v>105</v>
      </c>
      <c r="I15" s="36" t="s">
        <v>55</v>
      </c>
      <c r="J15" s="36" t="s">
        <v>56</v>
      </c>
      <c r="K15" s="36" t="s">
        <v>36</v>
      </c>
      <c r="L15" s="52" t="s">
        <v>47</v>
      </c>
      <c r="M15" s="36" t="s">
        <v>85</v>
      </c>
      <c r="N15" s="36" t="s">
        <v>1032</v>
      </c>
      <c r="O15" s="36"/>
      <c r="P15" s="36" t="s">
        <v>1031</v>
      </c>
      <c r="Q15" s="36" t="s">
        <v>57</v>
      </c>
      <c r="R15" s="36" t="s">
        <v>8</v>
      </c>
      <c r="S15" s="37" t="s">
        <v>86</v>
      </c>
      <c r="T15" s="38">
        <v>232128</v>
      </c>
      <c r="U15" s="39">
        <v>256856.74</v>
      </c>
      <c r="V15" s="47">
        <v>256856.74</v>
      </c>
      <c r="W15" s="28" t="s">
        <v>106</v>
      </c>
      <c r="X15" s="29" t="s">
        <v>88</v>
      </c>
    </row>
    <row r="16" spans="1:31" x14ac:dyDescent="0.2">
      <c r="A16" s="36" t="s">
        <v>107</v>
      </c>
      <c r="B16" s="36" t="s">
        <v>30</v>
      </c>
      <c r="C16" s="36" t="s">
        <v>1029</v>
      </c>
      <c r="D16" s="36"/>
      <c r="E16" s="36"/>
      <c r="F16" s="36" t="s">
        <v>31</v>
      </c>
      <c r="G16" s="36" t="s">
        <v>108</v>
      </c>
      <c r="H16" s="36" t="s">
        <v>109</v>
      </c>
      <c r="I16" s="36" t="s">
        <v>55</v>
      </c>
      <c r="J16" s="36" t="s">
        <v>56</v>
      </c>
      <c r="K16" s="36" t="s">
        <v>36</v>
      </c>
      <c r="L16" s="52" t="s">
        <v>47</v>
      </c>
      <c r="M16" s="36" t="s">
        <v>110</v>
      </c>
      <c r="N16" s="36" t="s">
        <v>1030</v>
      </c>
      <c r="O16" s="36" t="s">
        <v>110</v>
      </c>
      <c r="P16" s="36" t="s">
        <v>1031</v>
      </c>
      <c r="Q16" s="36" t="s">
        <v>57</v>
      </c>
      <c r="R16" s="36" t="s">
        <v>9</v>
      </c>
      <c r="S16" s="37" t="s">
        <v>111</v>
      </c>
      <c r="T16" s="38">
        <v>499529</v>
      </c>
      <c r="U16" s="39">
        <v>499529</v>
      </c>
      <c r="V16" s="47">
        <v>499529</v>
      </c>
      <c r="W16" s="28" t="s">
        <v>112</v>
      </c>
      <c r="X16" s="29" t="s">
        <v>113</v>
      </c>
    </row>
    <row r="17" spans="1:31" x14ac:dyDescent="0.2">
      <c r="A17" s="36" t="s">
        <v>114</v>
      </c>
      <c r="B17" s="36" t="s">
        <v>30</v>
      </c>
      <c r="C17" s="36" t="s">
        <v>1029</v>
      </c>
      <c r="D17" s="36"/>
      <c r="E17" s="36"/>
      <c r="F17" s="36" t="s">
        <v>31</v>
      </c>
      <c r="G17" s="36" t="s">
        <v>115</v>
      </c>
      <c r="H17" s="36" t="s">
        <v>54</v>
      </c>
      <c r="I17" s="36" t="s">
        <v>55</v>
      </c>
      <c r="J17" s="36" t="s">
        <v>56</v>
      </c>
      <c r="K17" s="36" t="s">
        <v>36</v>
      </c>
      <c r="L17" s="52" t="s">
        <v>47</v>
      </c>
      <c r="M17" s="36" t="s">
        <v>110</v>
      </c>
      <c r="N17" s="36" t="s">
        <v>1030</v>
      </c>
      <c r="O17" s="36" t="s">
        <v>110</v>
      </c>
      <c r="P17" s="36" t="s">
        <v>1031</v>
      </c>
      <c r="Q17" s="36" t="s">
        <v>57</v>
      </c>
      <c r="R17" s="36" t="s">
        <v>8</v>
      </c>
      <c r="S17" s="37" t="s">
        <v>111</v>
      </c>
      <c r="T17" s="38">
        <v>480795</v>
      </c>
      <c r="U17" s="39">
        <v>460459.25</v>
      </c>
      <c r="V17" s="47">
        <v>460459.25</v>
      </c>
      <c r="W17" s="28" t="s">
        <v>116</v>
      </c>
      <c r="X17" s="29" t="s">
        <v>113</v>
      </c>
    </row>
    <row r="18" spans="1:31" x14ac:dyDescent="0.2">
      <c r="A18" s="36" t="s">
        <v>117</v>
      </c>
      <c r="B18" s="36" t="s">
        <v>30</v>
      </c>
      <c r="C18" s="36" t="s">
        <v>1029</v>
      </c>
      <c r="D18" s="36"/>
      <c r="E18" s="36"/>
      <c r="F18" s="36" t="s">
        <v>31</v>
      </c>
      <c r="G18" s="36" t="s">
        <v>118</v>
      </c>
      <c r="H18" s="36" t="s">
        <v>119</v>
      </c>
      <c r="I18" s="36" t="s">
        <v>46</v>
      </c>
      <c r="J18" s="36" t="s">
        <v>35</v>
      </c>
      <c r="K18" s="36" t="s">
        <v>36</v>
      </c>
      <c r="L18" s="52" t="s">
        <v>37</v>
      </c>
      <c r="M18" s="36" t="s">
        <v>110</v>
      </c>
      <c r="N18" s="36" t="s">
        <v>1030</v>
      </c>
      <c r="O18" s="36" t="s">
        <v>110</v>
      </c>
      <c r="P18" s="36" t="s">
        <v>1031</v>
      </c>
      <c r="Q18" s="36" t="s">
        <v>57</v>
      </c>
      <c r="R18" s="36" t="s">
        <v>9</v>
      </c>
      <c r="S18" s="37" t="s">
        <v>111</v>
      </c>
      <c r="T18" s="38">
        <v>305186.01</v>
      </c>
      <c r="U18" s="39">
        <v>305186.01</v>
      </c>
      <c r="V18" s="47">
        <v>305186.01</v>
      </c>
      <c r="W18" s="28" t="s">
        <v>120</v>
      </c>
      <c r="X18" s="29" t="s">
        <v>113</v>
      </c>
    </row>
    <row r="19" spans="1:31" x14ac:dyDescent="0.2">
      <c r="A19" s="36" t="s">
        <v>121</v>
      </c>
      <c r="B19" s="36" t="s">
        <v>30</v>
      </c>
      <c r="C19" s="36" t="s">
        <v>1029</v>
      </c>
      <c r="D19" s="36"/>
      <c r="E19" s="36"/>
      <c r="F19" s="36" t="s">
        <v>31</v>
      </c>
      <c r="G19" s="36" t="s">
        <v>122</v>
      </c>
      <c r="H19" s="36" t="s">
        <v>123</v>
      </c>
      <c r="I19" s="36" t="s">
        <v>46</v>
      </c>
      <c r="J19" s="36" t="s">
        <v>35</v>
      </c>
      <c r="K19" s="36" t="s">
        <v>36</v>
      </c>
      <c r="L19" s="52" t="s">
        <v>47</v>
      </c>
      <c r="M19" s="36" t="s">
        <v>110</v>
      </c>
      <c r="N19" s="36" t="s">
        <v>1030</v>
      </c>
      <c r="O19" s="36" t="s">
        <v>110</v>
      </c>
      <c r="P19" s="36" t="s">
        <v>1031</v>
      </c>
      <c r="Q19" s="36" t="s">
        <v>39</v>
      </c>
      <c r="R19" s="36" t="s">
        <v>8</v>
      </c>
      <c r="S19" s="37" t="s">
        <v>111</v>
      </c>
      <c r="T19" s="38">
        <v>485001.13</v>
      </c>
      <c r="U19" s="39">
        <v>482585.3</v>
      </c>
      <c r="V19" s="47">
        <v>482585.3</v>
      </c>
      <c r="W19" s="28" t="s">
        <v>124</v>
      </c>
      <c r="X19" s="29" t="s">
        <v>113</v>
      </c>
    </row>
    <row r="20" spans="1:31" x14ac:dyDescent="0.2">
      <c r="A20" s="36" t="s">
        <v>125</v>
      </c>
      <c r="B20" s="36" t="s">
        <v>30</v>
      </c>
      <c r="C20" s="36" t="s">
        <v>1029</v>
      </c>
      <c r="D20" s="36"/>
      <c r="E20" s="36"/>
      <c r="F20" s="36" t="s">
        <v>31</v>
      </c>
      <c r="G20" s="36" t="s">
        <v>126</v>
      </c>
      <c r="H20" s="36" t="s">
        <v>127</v>
      </c>
      <c r="I20" s="36" t="s">
        <v>46</v>
      </c>
      <c r="J20" s="36" t="s">
        <v>35</v>
      </c>
      <c r="K20" s="36" t="s">
        <v>36</v>
      </c>
      <c r="L20" s="52" t="s">
        <v>47</v>
      </c>
      <c r="M20" s="36" t="s">
        <v>110</v>
      </c>
      <c r="N20" s="36" t="s">
        <v>1030</v>
      </c>
      <c r="O20" s="36" t="s">
        <v>110</v>
      </c>
      <c r="P20" s="36" t="s">
        <v>1031</v>
      </c>
      <c r="Q20" s="36" t="s">
        <v>57</v>
      </c>
      <c r="R20" s="36" t="s">
        <v>9</v>
      </c>
      <c r="S20" s="37" t="s">
        <v>111</v>
      </c>
      <c r="T20" s="38">
        <v>483015.58</v>
      </c>
      <c r="U20" s="39">
        <v>483015.58</v>
      </c>
      <c r="V20" s="47">
        <v>483015.58</v>
      </c>
      <c r="W20" s="28" t="s">
        <v>128</v>
      </c>
      <c r="X20" s="29" t="s">
        <v>113</v>
      </c>
    </row>
    <row r="21" spans="1:31" x14ac:dyDescent="0.2">
      <c r="A21" s="36" t="s">
        <v>129</v>
      </c>
      <c r="B21" s="36" t="s">
        <v>30</v>
      </c>
      <c r="C21" s="36" t="s">
        <v>1029</v>
      </c>
      <c r="D21" s="36"/>
      <c r="E21" s="36"/>
      <c r="F21" s="36" t="s">
        <v>31</v>
      </c>
      <c r="G21" s="36" t="s">
        <v>130</v>
      </c>
      <c r="H21" s="36" t="s">
        <v>131</v>
      </c>
      <c r="I21" s="36" t="s">
        <v>132</v>
      </c>
      <c r="J21" s="36" t="s">
        <v>133</v>
      </c>
      <c r="K21" s="36" t="s">
        <v>36</v>
      </c>
      <c r="L21" s="52" t="s">
        <v>47</v>
      </c>
      <c r="M21" s="36" t="s">
        <v>110</v>
      </c>
      <c r="N21" s="36" t="s">
        <v>1030</v>
      </c>
      <c r="O21" s="36" t="s">
        <v>110</v>
      </c>
      <c r="P21" s="36" t="s">
        <v>1031</v>
      </c>
      <c r="Q21" s="36" t="s">
        <v>134</v>
      </c>
      <c r="R21" s="36" t="s">
        <v>8</v>
      </c>
      <c r="S21" s="37" t="s">
        <v>111</v>
      </c>
      <c r="T21" s="38">
        <v>200561.66</v>
      </c>
      <c r="U21" s="39">
        <v>198045.13</v>
      </c>
      <c r="V21" s="47">
        <v>198045.13</v>
      </c>
      <c r="W21" s="28" t="s">
        <v>135</v>
      </c>
      <c r="X21" s="29" t="s">
        <v>113</v>
      </c>
    </row>
    <row r="22" spans="1:31" x14ac:dyDescent="0.2">
      <c r="A22" s="36" t="s">
        <v>136</v>
      </c>
      <c r="B22" s="36" t="s">
        <v>30</v>
      </c>
      <c r="C22" s="36" t="s">
        <v>1029</v>
      </c>
      <c r="D22" s="36"/>
      <c r="E22" s="36"/>
      <c r="F22" s="36" t="s">
        <v>31</v>
      </c>
      <c r="G22" s="36" t="s">
        <v>137</v>
      </c>
      <c r="H22" s="36" t="s">
        <v>91</v>
      </c>
      <c r="I22" s="36" t="s">
        <v>55</v>
      </c>
      <c r="J22" s="36" t="s">
        <v>56</v>
      </c>
      <c r="K22" s="36" t="s">
        <v>36</v>
      </c>
      <c r="L22" s="52" t="s">
        <v>95</v>
      </c>
      <c r="M22" s="36" t="s">
        <v>110</v>
      </c>
      <c r="N22" s="36" t="s">
        <v>1030</v>
      </c>
      <c r="O22" s="36" t="s">
        <v>110</v>
      </c>
      <c r="P22" s="36" t="s">
        <v>1031</v>
      </c>
      <c r="Q22" s="36" t="s">
        <v>57</v>
      </c>
      <c r="R22" s="36" t="s">
        <v>5</v>
      </c>
      <c r="S22" s="37" t="s">
        <v>111</v>
      </c>
      <c r="T22" s="38">
        <v>518125</v>
      </c>
      <c r="U22" s="39">
        <v>519426</v>
      </c>
      <c r="V22" s="47">
        <v>519426</v>
      </c>
      <c r="W22" s="28" t="s">
        <v>138</v>
      </c>
      <c r="X22" s="29" t="s">
        <v>113</v>
      </c>
      <c r="AA22" s="78">
        <v>1</v>
      </c>
      <c r="AB22" s="78">
        <v>1</v>
      </c>
      <c r="AC22" s="78">
        <v>4</v>
      </c>
    </row>
    <row r="23" spans="1:31" x14ac:dyDescent="0.2">
      <c r="A23" s="36" t="s">
        <v>139</v>
      </c>
      <c r="B23" s="36" t="s">
        <v>30</v>
      </c>
      <c r="C23" s="36" t="s">
        <v>1029</v>
      </c>
      <c r="D23" s="36"/>
      <c r="E23" s="36"/>
      <c r="F23" s="36" t="s">
        <v>31</v>
      </c>
      <c r="G23" s="36" t="s">
        <v>140</v>
      </c>
      <c r="H23" s="36" t="s">
        <v>141</v>
      </c>
      <c r="I23" s="36" t="s">
        <v>46</v>
      </c>
      <c r="J23" s="36" t="s">
        <v>35</v>
      </c>
      <c r="K23" s="36" t="s">
        <v>36</v>
      </c>
      <c r="L23" s="52" t="s">
        <v>37</v>
      </c>
      <c r="M23" s="36" t="s">
        <v>142</v>
      </c>
      <c r="N23" s="36" t="s">
        <v>1030</v>
      </c>
      <c r="O23" s="36" t="s">
        <v>110</v>
      </c>
      <c r="P23" s="36" t="s">
        <v>1031</v>
      </c>
      <c r="Q23" s="36" t="s">
        <v>57</v>
      </c>
      <c r="R23" s="36" t="s">
        <v>8</v>
      </c>
      <c r="S23" s="37" t="s">
        <v>143</v>
      </c>
      <c r="T23" s="38">
        <v>18458.62</v>
      </c>
      <c r="U23" s="39">
        <v>18398.88</v>
      </c>
      <c r="V23" s="47">
        <v>18398.88</v>
      </c>
      <c r="W23" s="28" t="s">
        <v>144</v>
      </c>
      <c r="X23" s="29" t="s">
        <v>113</v>
      </c>
      <c r="AE23" t="s">
        <v>1033</v>
      </c>
    </row>
    <row r="24" spans="1:31" x14ac:dyDescent="0.2">
      <c r="A24" s="36" t="s">
        <v>145</v>
      </c>
      <c r="B24" s="36" t="s">
        <v>30</v>
      </c>
      <c r="C24" s="36" t="s">
        <v>1029</v>
      </c>
      <c r="D24" s="36"/>
      <c r="E24" s="36"/>
      <c r="F24" s="36" t="s">
        <v>31</v>
      </c>
      <c r="G24" s="36" t="s">
        <v>140</v>
      </c>
      <c r="H24" s="36" t="s">
        <v>141</v>
      </c>
      <c r="I24" s="36" t="s">
        <v>46</v>
      </c>
      <c r="J24" s="36" t="s">
        <v>35</v>
      </c>
      <c r="K24" s="36" t="s">
        <v>36</v>
      </c>
      <c r="L24" s="52" t="s">
        <v>37</v>
      </c>
      <c r="M24" s="36" t="s">
        <v>110</v>
      </c>
      <c r="N24" s="36" t="s">
        <v>1030</v>
      </c>
      <c r="O24" s="36" t="s">
        <v>110</v>
      </c>
      <c r="P24" s="36" t="s">
        <v>1031</v>
      </c>
      <c r="Q24" s="36" t="s">
        <v>57</v>
      </c>
      <c r="R24" s="36" t="s">
        <v>9</v>
      </c>
      <c r="S24" s="37" t="s">
        <v>111</v>
      </c>
      <c r="T24" s="38">
        <v>485609.36</v>
      </c>
      <c r="U24" s="39">
        <v>495269.03</v>
      </c>
      <c r="V24" s="47">
        <v>495269.03</v>
      </c>
      <c r="W24" s="28" t="s">
        <v>146</v>
      </c>
      <c r="X24" s="29" t="s">
        <v>147</v>
      </c>
    </row>
    <row r="25" spans="1:31" x14ac:dyDescent="0.2">
      <c r="A25" s="36" t="s">
        <v>148</v>
      </c>
      <c r="B25" s="36" t="s">
        <v>30</v>
      </c>
      <c r="C25" s="36" t="s">
        <v>1029</v>
      </c>
      <c r="D25" s="36"/>
      <c r="E25" s="36"/>
      <c r="F25" s="36" t="s">
        <v>31</v>
      </c>
      <c r="G25" s="36" t="s">
        <v>149</v>
      </c>
      <c r="H25" s="36" t="s">
        <v>150</v>
      </c>
      <c r="I25" s="36" t="s">
        <v>68</v>
      </c>
      <c r="J25" s="36" t="s">
        <v>35</v>
      </c>
      <c r="K25" s="36" t="s">
        <v>36</v>
      </c>
      <c r="L25" s="52" t="s">
        <v>95</v>
      </c>
      <c r="M25" s="36" t="s">
        <v>110</v>
      </c>
      <c r="N25" s="36" t="s">
        <v>1030</v>
      </c>
      <c r="O25" s="36" t="s">
        <v>110</v>
      </c>
      <c r="P25" s="36" t="s">
        <v>1031</v>
      </c>
      <c r="Q25" s="36" t="s">
        <v>39</v>
      </c>
      <c r="R25" s="36" t="s">
        <v>8</v>
      </c>
      <c r="S25" s="37" t="s">
        <v>111</v>
      </c>
      <c r="T25" s="38">
        <v>470303.53</v>
      </c>
      <c r="U25" s="39">
        <v>470303.53</v>
      </c>
      <c r="V25" s="47">
        <v>470303.53</v>
      </c>
      <c r="W25" s="28" t="s">
        <v>151</v>
      </c>
      <c r="X25" s="29" t="s">
        <v>113</v>
      </c>
    </row>
    <row r="26" spans="1:31" x14ac:dyDescent="0.2">
      <c r="A26" s="36" t="s">
        <v>152</v>
      </c>
      <c r="B26" s="36" t="s">
        <v>30</v>
      </c>
      <c r="C26" s="36" t="s">
        <v>1029</v>
      </c>
      <c r="D26" s="36"/>
      <c r="E26" s="36"/>
      <c r="F26" s="36" t="s">
        <v>31</v>
      </c>
      <c r="G26" s="36" t="s">
        <v>153</v>
      </c>
      <c r="H26" s="36" t="s">
        <v>154</v>
      </c>
      <c r="I26" s="36" t="s">
        <v>46</v>
      </c>
      <c r="J26" s="36" t="s">
        <v>35</v>
      </c>
      <c r="K26" s="36" t="s">
        <v>36</v>
      </c>
      <c r="L26" s="52" t="s">
        <v>47</v>
      </c>
      <c r="M26" s="36" t="s">
        <v>110</v>
      </c>
      <c r="N26" s="36" t="s">
        <v>1030</v>
      </c>
      <c r="O26" s="36" t="s">
        <v>110</v>
      </c>
      <c r="P26" s="36" t="s">
        <v>1031</v>
      </c>
      <c r="Q26" s="36" t="s">
        <v>39</v>
      </c>
      <c r="R26" s="36" t="s">
        <v>9</v>
      </c>
      <c r="S26" s="37" t="s">
        <v>111</v>
      </c>
      <c r="T26" s="38">
        <v>485385.3</v>
      </c>
      <c r="U26" s="39">
        <v>485385.3</v>
      </c>
      <c r="V26" s="47">
        <v>485385.3</v>
      </c>
      <c r="W26" s="28" t="s">
        <v>155</v>
      </c>
      <c r="X26" s="29" t="s">
        <v>113</v>
      </c>
    </row>
    <row r="27" spans="1:31" x14ac:dyDescent="0.2">
      <c r="A27" s="36" t="s">
        <v>156</v>
      </c>
      <c r="B27" s="36" t="s">
        <v>30</v>
      </c>
      <c r="C27" s="36" t="s">
        <v>1029</v>
      </c>
      <c r="D27" s="36"/>
      <c r="E27" s="36"/>
      <c r="F27" s="36" t="s">
        <v>31</v>
      </c>
      <c r="G27" s="36" t="s">
        <v>157</v>
      </c>
      <c r="H27" s="36" t="s">
        <v>158</v>
      </c>
      <c r="I27" s="36" t="s">
        <v>159</v>
      </c>
      <c r="J27" s="36" t="s">
        <v>35</v>
      </c>
      <c r="K27" s="36" t="s">
        <v>36</v>
      </c>
      <c r="L27" s="52" t="s">
        <v>101</v>
      </c>
      <c r="M27" s="36" t="s">
        <v>110</v>
      </c>
      <c r="N27" s="36" t="s">
        <v>1030</v>
      </c>
      <c r="O27" s="36" t="s">
        <v>110</v>
      </c>
      <c r="P27" s="36" t="s">
        <v>1031</v>
      </c>
      <c r="Q27" s="36" t="s">
        <v>39</v>
      </c>
      <c r="R27" s="36" t="s">
        <v>9</v>
      </c>
      <c r="S27" s="37" t="s">
        <v>111</v>
      </c>
      <c r="T27" s="38">
        <v>388889.52</v>
      </c>
      <c r="U27" s="39">
        <v>388889.52</v>
      </c>
      <c r="V27" s="47">
        <v>388889.52</v>
      </c>
      <c r="W27" s="28" t="s">
        <v>160</v>
      </c>
      <c r="X27" s="29" t="s">
        <v>113</v>
      </c>
    </row>
    <row r="28" spans="1:31" x14ac:dyDescent="0.2">
      <c r="A28" s="36" t="s">
        <v>161</v>
      </c>
      <c r="B28" s="36" t="s">
        <v>30</v>
      </c>
      <c r="C28" s="36" t="s">
        <v>1029</v>
      </c>
      <c r="D28" s="36"/>
      <c r="E28" s="36"/>
      <c r="F28" s="36" t="s">
        <v>31</v>
      </c>
      <c r="G28" s="36" t="s">
        <v>162</v>
      </c>
      <c r="H28" s="36" t="s">
        <v>163</v>
      </c>
      <c r="I28" s="36" t="s">
        <v>46</v>
      </c>
      <c r="J28" s="36" t="s">
        <v>35</v>
      </c>
      <c r="K28" s="36" t="s">
        <v>36</v>
      </c>
      <c r="L28" s="52" t="s">
        <v>37</v>
      </c>
      <c r="M28" s="36" t="s">
        <v>110</v>
      </c>
      <c r="N28" s="36" t="s">
        <v>1030</v>
      </c>
      <c r="O28" s="36" t="s">
        <v>110</v>
      </c>
      <c r="P28" s="36" t="s">
        <v>1031</v>
      </c>
      <c r="Q28" s="36" t="s">
        <v>39</v>
      </c>
      <c r="R28" s="36" t="s">
        <v>9</v>
      </c>
      <c r="S28" s="37" t="s">
        <v>111</v>
      </c>
      <c r="T28" s="38">
        <v>483841.06</v>
      </c>
      <c r="U28" s="39">
        <v>483841.06</v>
      </c>
      <c r="V28" s="47">
        <v>483841.06</v>
      </c>
      <c r="W28" s="28" t="s">
        <v>164</v>
      </c>
      <c r="X28" s="29" t="s">
        <v>113</v>
      </c>
    </row>
    <row r="29" spans="1:31" x14ac:dyDescent="0.2">
      <c r="A29" s="36" t="s">
        <v>165</v>
      </c>
      <c r="B29" s="36" t="s">
        <v>30</v>
      </c>
      <c r="C29" s="36" t="s">
        <v>1029</v>
      </c>
      <c r="D29" s="36"/>
      <c r="E29" s="36"/>
      <c r="F29" s="36" t="s">
        <v>31</v>
      </c>
      <c r="G29" s="36" t="s">
        <v>166</v>
      </c>
      <c r="H29" s="36" t="s">
        <v>167</v>
      </c>
      <c r="I29" s="36" t="s">
        <v>46</v>
      </c>
      <c r="J29" s="36" t="s">
        <v>35</v>
      </c>
      <c r="K29" s="36" t="s">
        <v>36</v>
      </c>
      <c r="L29" s="52" t="s">
        <v>37</v>
      </c>
      <c r="M29" s="36" t="s">
        <v>110</v>
      </c>
      <c r="N29" s="36" t="s">
        <v>1030</v>
      </c>
      <c r="O29" s="36" t="s">
        <v>110</v>
      </c>
      <c r="P29" s="36" t="s">
        <v>1031</v>
      </c>
      <c r="Q29" s="36" t="s">
        <v>39</v>
      </c>
      <c r="R29" s="36" t="s">
        <v>8</v>
      </c>
      <c r="S29" s="37" t="s">
        <v>111</v>
      </c>
      <c r="T29" s="38">
        <v>479830.09</v>
      </c>
      <c r="U29" s="39">
        <v>479830.08</v>
      </c>
      <c r="V29" s="47">
        <v>479830.08</v>
      </c>
      <c r="W29" s="28" t="s">
        <v>168</v>
      </c>
      <c r="X29" s="29" t="s">
        <v>113</v>
      </c>
    </row>
    <row r="30" spans="1:31" x14ac:dyDescent="0.2">
      <c r="A30" s="36" t="s">
        <v>169</v>
      </c>
      <c r="B30" s="36" t="s">
        <v>30</v>
      </c>
      <c r="C30" s="36" t="s">
        <v>1029</v>
      </c>
      <c r="D30" s="36"/>
      <c r="E30" s="36"/>
      <c r="F30" s="36" t="s">
        <v>31</v>
      </c>
      <c r="G30" s="36" t="s">
        <v>170</v>
      </c>
      <c r="H30" s="36" t="s">
        <v>54</v>
      </c>
      <c r="I30" s="36" t="s">
        <v>55</v>
      </c>
      <c r="J30" s="36" t="s">
        <v>56</v>
      </c>
      <c r="K30" s="36" t="s">
        <v>36</v>
      </c>
      <c r="L30" s="52" t="s">
        <v>47</v>
      </c>
      <c r="M30" s="36" t="s">
        <v>110</v>
      </c>
      <c r="N30" s="36" t="s">
        <v>1030</v>
      </c>
      <c r="O30" s="36" t="s">
        <v>110</v>
      </c>
      <c r="P30" s="36" t="s">
        <v>1031</v>
      </c>
      <c r="Q30" s="36" t="s">
        <v>57</v>
      </c>
      <c r="R30" s="36" t="s">
        <v>8</v>
      </c>
      <c r="S30" s="37" t="s">
        <v>111</v>
      </c>
      <c r="T30" s="38">
        <v>490886</v>
      </c>
      <c r="U30" s="39">
        <v>516916.14</v>
      </c>
      <c r="V30" s="47">
        <v>516916.14</v>
      </c>
      <c r="W30" s="28" t="s">
        <v>171</v>
      </c>
      <c r="X30" s="29" t="s">
        <v>113</v>
      </c>
    </row>
    <row r="31" spans="1:31" x14ac:dyDescent="0.2">
      <c r="A31" s="36" t="s">
        <v>172</v>
      </c>
      <c r="B31" s="36" t="s">
        <v>30</v>
      </c>
      <c r="C31" s="36" t="s">
        <v>1029</v>
      </c>
      <c r="D31" s="36"/>
      <c r="E31" s="36"/>
      <c r="F31" s="36" t="s">
        <v>31</v>
      </c>
      <c r="G31" s="36" t="s">
        <v>173</v>
      </c>
      <c r="H31" s="36" t="s">
        <v>99</v>
      </c>
      <c r="I31" s="36" t="s">
        <v>100</v>
      </c>
      <c r="J31" s="36" t="s">
        <v>35</v>
      </c>
      <c r="K31" s="36" t="s">
        <v>36</v>
      </c>
      <c r="L31" s="52" t="s">
        <v>101</v>
      </c>
      <c r="M31" s="36" t="s">
        <v>85</v>
      </c>
      <c r="N31" s="36" t="s">
        <v>1032</v>
      </c>
      <c r="O31" s="36"/>
      <c r="P31" s="36" t="s">
        <v>1031</v>
      </c>
      <c r="Q31" s="36" t="s">
        <v>134</v>
      </c>
      <c r="R31" s="36" t="s">
        <v>8</v>
      </c>
      <c r="S31" s="37" t="s">
        <v>174</v>
      </c>
      <c r="T31" s="38">
        <v>36751.199999999997</v>
      </c>
      <c r="U31" s="39">
        <v>36751.199999999997</v>
      </c>
      <c r="V31" s="47">
        <v>36751.199999999997</v>
      </c>
      <c r="W31" s="28" t="s">
        <v>175</v>
      </c>
      <c r="X31" s="29" t="s">
        <v>113</v>
      </c>
    </row>
    <row r="32" spans="1:31" x14ac:dyDescent="0.2">
      <c r="A32" s="36" t="s">
        <v>176</v>
      </c>
      <c r="B32" s="36" t="s">
        <v>30</v>
      </c>
      <c r="C32" s="36" t="s">
        <v>1029</v>
      </c>
      <c r="D32" s="36"/>
      <c r="E32" s="36"/>
      <c r="F32" s="36" t="s">
        <v>31</v>
      </c>
      <c r="G32" s="36" t="s">
        <v>177</v>
      </c>
      <c r="H32" s="36" t="s">
        <v>119</v>
      </c>
      <c r="I32" s="36" t="s">
        <v>46</v>
      </c>
      <c r="J32" s="36" t="s">
        <v>35</v>
      </c>
      <c r="K32" s="36" t="s">
        <v>36</v>
      </c>
      <c r="L32" s="52" t="s">
        <v>101</v>
      </c>
      <c r="M32" s="36" t="s">
        <v>85</v>
      </c>
      <c r="N32" s="36" t="s">
        <v>1032</v>
      </c>
      <c r="O32" s="36"/>
      <c r="P32" s="36" t="s">
        <v>1031</v>
      </c>
      <c r="Q32" s="36" t="s">
        <v>57</v>
      </c>
      <c r="R32" s="36" t="s">
        <v>5</v>
      </c>
      <c r="S32" s="37" t="s">
        <v>178</v>
      </c>
      <c r="T32" s="38">
        <v>1544320.83</v>
      </c>
      <c r="U32" s="39">
        <v>1544320.83</v>
      </c>
      <c r="V32" s="47">
        <v>1544320.83</v>
      </c>
      <c r="W32" s="28" t="s">
        <v>179</v>
      </c>
      <c r="X32" s="29" t="s">
        <v>180</v>
      </c>
      <c r="AA32" s="78">
        <v>1</v>
      </c>
      <c r="AB32" s="78">
        <v>1</v>
      </c>
      <c r="AC32" s="78">
        <v>2</v>
      </c>
    </row>
    <row r="33" spans="1:29" x14ac:dyDescent="0.2">
      <c r="A33" s="36" t="s">
        <v>181</v>
      </c>
      <c r="B33" s="36" t="s">
        <v>30</v>
      </c>
      <c r="C33" s="36" t="s">
        <v>1029</v>
      </c>
      <c r="D33" s="36"/>
      <c r="E33" s="36"/>
      <c r="F33" s="36" t="s">
        <v>31</v>
      </c>
      <c r="G33" s="36" t="s">
        <v>182</v>
      </c>
      <c r="H33" s="36" t="s">
        <v>99</v>
      </c>
      <c r="I33" s="36" t="s">
        <v>100</v>
      </c>
      <c r="J33" s="36" t="s">
        <v>35</v>
      </c>
      <c r="K33" s="36" t="s">
        <v>36</v>
      </c>
      <c r="L33" s="52" t="s">
        <v>37</v>
      </c>
      <c r="M33" s="36" t="s">
        <v>85</v>
      </c>
      <c r="N33" s="36" t="s">
        <v>1032</v>
      </c>
      <c r="O33" s="36"/>
      <c r="P33" s="36" t="s">
        <v>1031</v>
      </c>
      <c r="Q33" s="36" t="s">
        <v>39</v>
      </c>
      <c r="R33" s="36" t="s">
        <v>9</v>
      </c>
      <c r="S33" s="37" t="s">
        <v>178</v>
      </c>
      <c r="T33" s="38">
        <v>1961879.6</v>
      </c>
      <c r="U33" s="39">
        <v>1961879.6</v>
      </c>
      <c r="V33" s="47">
        <v>1961879.6</v>
      </c>
      <c r="W33" s="28" t="s">
        <v>183</v>
      </c>
      <c r="X33" s="29" t="s">
        <v>180</v>
      </c>
    </row>
    <row r="34" spans="1:29" x14ac:dyDescent="0.2">
      <c r="A34" s="36" t="s">
        <v>184</v>
      </c>
      <c r="B34" s="36" t="s">
        <v>30</v>
      </c>
      <c r="C34" s="36" t="s">
        <v>1029</v>
      </c>
      <c r="D34" s="36"/>
      <c r="E34" s="36"/>
      <c r="F34" s="36" t="s">
        <v>31</v>
      </c>
      <c r="G34" s="36" t="s">
        <v>185</v>
      </c>
      <c r="H34" s="36" t="s">
        <v>186</v>
      </c>
      <c r="I34" s="36" t="s">
        <v>187</v>
      </c>
      <c r="J34" s="36" t="s">
        <v>35</v>
      </c>
      <c r="K34" s="36" t="s">
        <v>36</v>
      </c>
      <c r="L34" s="52" t="s">
        <v>37</v>
      </c>
      <c r="M34" s="36" t="s">
        <v>85</v>
      </c>
      <c r="N34" s="36" t="s">
        <v>1032</v>
      </c>
      <c r="O34" s="36"/>
      <c r="P34" s="36" t="s">
        <v>1031</v>
      </c>
      <c r="Q34" s="36" t="s">
        <v>134</v>
      </c>
      <c r="R34" s="36" t="s">
        <v>9</v>
      </c>
      <c r="S34" s="37" t="s">
        <v>178</v>
      </c>
      <c r="T34" s="38">
        <v>200000</v>
      </c>
      <c r="U34" s="39">
        <v>200000</v>
      </c>
      <c r="V34" s="47">
        <v>200000</v>
      </c>
      <c r="W34" s="28" t="s">
        <v>188</v>
      </c>
      <c r="X34" s="29" t="s">
        <v>180</v>
      </c>
    </row>
    <row r="35" spans="1:29" x14ac:dyDescent="0.2">
      <c r="A35" s="36" t="s">
        <v>189</v>
      </c>
      <c r="B35" s="36" t="s">
        <v>30</v>
      </c>
      <c r="C35" s="36" t="s">
        <v>1029</v>
      </c>
      <c r="D35" s="36"/>
      <c r="E35" s="36"/>
      <c r="F35" s="36" t="s">
        <v>31</v>
      </c>
      <c r="G35" s="36" t="s">
        <v>190</v>
      </c>
      <c r="H35" s="36" t="s">
        <v>54</v>
      </c>
      <c r="I35" s="36" t="s">
        <v>55</v>
      </c>
      <c r="J35" s="36" t="s">
        <v>56</v>
      </c>
      <c r="K35" s="36" t="s">
        <v>36</v>
      </c>
      <c r="L35" s="52" t="s">
        <v>37</v>
      </c>
      <c r="M35" s="36" t="s">
        <v>85</v>
      </c>
      <c r="N35" s="36" t="s">
        <v>1032</v>
      </c>
      <c r="O35" s="36"/>
      <c r="P35" s="36" t="s">
        <v>1031</v>
      </c>
      <c r="Q35" s="36" t="s">
        <v>57</v>
      </c>
      <c r="R35" s="36" t="s">
        <v>5</v>
      </c>
      <c r="S35" s="37" t="s">
        <v>178</v>
      </c>
      <c r="T35" s="38">
        <v>1412289</v>
      </c>
      <c r="U35" s="39">
        <v>1412289</v>
      </c>
      <c r="V35" s="47">
        <v>1412289</v>
      </c>
      <c r="W35" s="28" t="s">
        <v>191</v>
      </c>
      <c r="X35" s="29" t="s">
        <v>180</v>
      </c>
      <c r="AA35" s="78">
        <v>1</v>
      </c>
      <c r="AB35" s="78">
        <v>1</v>
      </c>
      <c r="AC35" s="78">
        <v>2</v>
      </c>
    </row>
    <row r="36" spans="1:29" x14ac:dyDescent="0.2">
      <c r="A36" s="36" t="s">
        <v>192</v>
      </c>
      <c r="B36" s="36" t="s">
        <v>30</v>
      </c>
      <c r="C36" s="36" t="s">
        <v>1029</v>
      </c>
      <c r="D36" s="36"/>
      <c r="E36" s="36"/>
      <c r="F36" s="36" t="s">
        <v>31</v>
      </c>
      <c r="G36" s="36" t="s">
        <v>193</v>
      </c>
      <c r="H36" s="36" t="s">
        <v>186</v>
      </c>
      <c r="I36" s="36" t="s">
        <v>187</v>
      </c>
      <c r="J36" s="36" t="s">
        <v>35</v>
      </c>
      <c r="K36" s="36" t="s">
        <v>36</v>
      </c>
      <c r="L36" s="52" t="s">
        <v>37</v>
      </c>
      <c r="M36" s="36" t="s">
        <v>85</v>
      </c>
      <c r="N36" s="36" t="s">
        <v>1032</v>
      </c>
      <c r="O36" s="36"/>
      <c r="P36" s="36" t="s">
        <v>1031</v>
      </c>
      <c r="Q36" s="36" t="s">
        <v>57</v>
      </c>
      <c r="R36" s="36" t="s">
        <v>9</v>
      </c>
      <c r="S36" s="37" t="s">
        <v>178</v>
      </c>
      <c r="T36" s="38">
        <v>1001596.43</v>
      </c>
      <c r="U36" s="39">
        <v>1001596.43</v>
      </c>
      <c r="V36" s="47">
        <v>1001596.43</v>
      </c>
      <c r="W36" s="28" t="s">
        <v>194</v>
      </c>
      <c r="X36" s="29" t="s">
        <v>180</v>
      </c>
    </row>
    <row r="37" spans="1:29" x14ac:dyDescent="0.2">
      <c r="A37" s="36" t="s">
        <v>195</v>
      </c>
      <c r="B37" s="36" t="s">
        <v>30</v>
      </c>
      <c r="C37" s="36" t="s">
        <v>1029</v>
      </c>
      <c r="D37" s="36"/>
      <c r="E37" s="36"/>
      <c r="F37" s="36" t="s">
        <v>31</v>
      </c>
      <c r="G37" s="36" t="s">
        <v>196</v>
      </c>
      <c r="H37" s="36" t="s">
        <v>197</v>
      </c>
      <c r="I37" s="36" t="s">
        <v>55</v>
      </c>
      <c r="J37" s="36" t="s">
        <v>56</v>
      </c>
      <c r="K37" s="36" t="s">
        <v>36</v>
      </c>
      <c r="L37" s="52" t="s">
        <v>37</v>
      </c>
      <c r="M37" s="36" t="s">
        <v>85</v>
      </c>
      <c r="N37" s="36" t="s">
        <v>1032</v>
      </c>
      <c r="O37" s="36"/>
      <c r="P37" s="36" t="s">
        <v>1031</v>
      </c>
      <c r="Q37" s="36" t="s">
        <v>39</v>
      </c>
      <c r="R37" s="36" t="s">
        <v>8</v>
      </c>
      <c r="S37" s="37" t="s">
        <v>178</v>
      </c>
      <c r="T37" s="38">
        <v>233651.81</v>
      </c>
      <c r="U37" s="39">
        <v>233651.82</v>
      </c>
      <c r="V37" s="47">
        <v>233651.82</v>
      </c>
      <c r="W37" s="28" t="s">
        <v>198</v>
      </c>
      <c r="X37" s="29" t="s">
        <v>180</v>
      </c>
    </row>
    <row r="38" spans="1:29" x14ac:dyDescent="0.2">
      <c r="A38" s="36" t="s">
        <v>199</v>
      </c>
      <c r="B38" s="36" t="s">
        <v>30</v>
      </c>
      <c r="C38" s="36" t="s">
        <v>1029</v>
      </c>
      <c r="D38" s="36"/>
      <c r="E38" s="36"/>
      <c r="F38" s="36" t="s">
        <v>31</v>
      </c>
      <c r="G38" s="36" t="s">
        <v>200</v>
      </c>
      <c r="H38" s="36" t="s">
        <v>201</v>
      </c>
      <c r="I38" s="36" t="s">
        <v>46</v>
      </c>
      <c r="J38" s="36" t="s">
        <v>35</v>
      </c>
      <c r="K38" s="36" t="s">
        <v>36</v>
      </c>
      <c r="L38" s="52" t="s">
        <v>37</v>
      </c>
      <c r="M38" s="36" t="s">
        <v>85</v>
      </c>
      <c r="N38" s="36" t="s">
        <v>1032</v>
      </c>
      <c r="O38" s="36"/>
      <c r="P38" s="36" t="s">
        <v>1031</v>
      </c>
      <c r="Q38" s="36" t="s">
        <v>57</v>
      </c>
      <c r="R38" s="36" t="s">
        <v>8</v>
      </c>
      <c r="S38" s="37" t="s">
        <v>202</v>
      </c>
      <c r="T38" s="38">
        <v>193378.71</v>
      </c>
      <c r="U38" s="39">
        <v>193378.71</v>
      </c>
      <c r="V38" s="47">
        <v>193378.71</v>
      </c>
      <c r="W38" s="28" t="s">
        <v>203</v>
      </c>
      <c r="X38" s="29" t="s">
        <v>147</v>
      </c>
    </row>
    <row r="39" spans="1:29" x14ac:dyDescent="0.2">
      <c r="A39" s="36" t="s">
        <v>204</v>
      </c>
      <c r="B39" s="36" t="s">
        <v>30</v>
      </c>
      <c r="C39" s="36" t="s">
        <v>1029</v>
      </c>
      <c r="D39" s="36"/>
      <c r="E39" s="36"/>
      <c r="F39" s="36" t="s">
        <v>31</v>
      </c>
      <c r="G39" s="36" t="s">
        <v>205</v>
      </c>
      <c r="H39" s="36" t="s">
        <v>206</v>
      </c>
      <c r="I39" s="36" t="s">
        <v>159</v>
      </c>
      <c r="J39" s="36" t="s">
        <v>35</v>
      </c>
      <c r="K39" s="36" t="s">
        <v>36</v>
      </c>
      <c r="L39" s="52" t="s">
        <v>37</v>
      </c>
      <c r="M39" s="36" t="s">
        <v>85</v>
      </c>
      <c r="N39" s="36" t="s">
        <v>1032</v>
      </c>
      <c r="O39" s="36"/>
      <c r="P39" s="36" t="s">
        <v>1031</v>
      </c>
      <c r="Q39" s="36" t="s">
        <v>39</v>
      </c>
      <c r="R39" s="36" t="s">
        <v>8</v>
      </c>
      <c r="S39" s="37" t="s">
        <v>202</v>
      </c>
      <c r="T39" s="38">
        <v>505089.76</v>
      </c>
      <c r="U39" s="39">
        <v>494104.58</v>
      </c>
      <c r="V39" s="47">
        <v>494104.58</v>
      </c>
      <c r="W39" s="28" t="s">
        <v>207</v>
      </c>
      <c r="X39" s="29" t="s">
        <v>147</v>
      </c>
    </row>
    <row r="40" spans="1:29" x14ac:dyDescent="0.2">
      <c r="A40" s="36" t="s">
        <v>208</v>
      </c>
      <c r="B40" s="36" t="s">
        <v>30</v>
      </c>
      <c r="C40" s="36" t="s">
        <v>1029</v>
      </c>
      <c r="D40" s="36"/>
      <c r="E40" s="36"/>
      <c r="F40" s="36" t="s">
        <v>31</v>
      </c>
      <c r="G40" s="36" t="s">
        <v>209</v>
      </c>
      <c r="H40" s="36" t="s">
        <v>210</v>
      </c>
      <c r="I40" s="36" t="s">
        <v>55</v>
      </c>
      <c r="J40" s="36" t="s">
        <v>56</v>
      </c>
      <c r="K40" s="36" t="s">
        <v>36</v>
      </c>
      <c r="L40" s="52" t="s">
        <v>101</v>
      </c>
      <c r="M40" s="36" t="s">
        <v>85</v>
      </c>
      <c r="N40" s="36" t="s">
        <v>1032</v>
      </c>
      <c r="O40" s="36"/>
      <c r="P40" s="36" t="s">
        <v>1031</v>
      </c>
      <c r="Q40" s="36" t="s">
        <v>57</v>
      </c>
      <c r="R40" s="36" t="s">
        <v>8</v>
      </c>
      <c r="S40" s="37" t="s">
        <v>202</v>
      </c>
      <c r="T40" s="38">
        <v>49936</v>
      </c>
      <c r="U40" s="39">
        <v>49936</v>
      </c>
      <c r="V40" s="47">
        <v>49936</v>
      </c>
      <c r="W40" s="28" t="s">
        <v>211</v>
      </c>
      <c r="X40" s="29" t="s">
        <v>147</v>
      </c>
    </row>
    <row r="41" spans="1:29" x14ac:dyDescent="0.2">
      <c r="A41" s="36" t="s">
        <v>212</v>
      </c>
      <c r="B41" s="36" t="s">
        <v>30</v>
      </c>
      <c r="C41" s="36" t="s">
        <v>1029</v>
      </c>
      <c r="D41" s="36"/>
      <c r="E41" s="36"/>
      <c r="F41" s="36" t="s">
        <v>31</v>
      </c>
      <c r="G41" s="36" t="s">
        <v>213</v>
      </c>
      <c r="H41" s="36" t="s">
        <v>214</v>
      </c>
      <c r="I41" s="36" t="s">
        <v>46</v>
      </c>
      <c r="J41" s="36" t="s">
        <v>35</v>
      </c>
      <c r="K41" s="36" t="s">
        <v>36</v>
      </c>
      <c r="L41" s="52" t="s">
        <v>101</v>
      </c>
      <c r="M41" s="36" t="s">
        <v>85</v>
      </c>
      <c r="N41" s="36" t="s">
        <v>1032</v>
      </c>
      <c r="O41" s="36"/>
      <c r="P41" s="36" t="s">
        <v>1031</v>
      </c>
      <c r="Q41" s="36" t="s">
        <v>57</v>
      </c>
      <c r="R41" s="36" t="s">
        <v>8</v>
      </c>
      <c r="S41" s="37" t="s">
        <v>202</v>
      </c>
      <c r="T41" s="38">
        <v>46491.67</v>
      </c>
      <c r="U41" s="39">
        <v>46491.67</v>
      </c>
      <c r="V41" s="47">
        <v>46491.67</v>
      </c>
      <c r="W41" s="28" t="s">
        <v>211</v>
      </c>
      <c r="X41" s="29" t="s">
        <v>147</v>
      </c>
    </row>
    <row r="42" spans="1:29" x14ac:dyDescent="0.2">
      <c r="A42" s="36" t="s">
        <v>215</v>
      </c>
      <c r="B42" s="36" t="s">
        <v>30</v>
      </c>
      <c r="C42" s="36" t="s">
        <v>1029</v>
      </c>
      <c r="D42" s="36"/>
      <c r="E42" s="36"/>
      <c r="F42" s="36" t="s">
        <v>31</v>
      </c>
      <c r="G42" s="36" t="s">
        <v>216</v>
      </c>
      <c r="H42" s="36" t="s">
        <v>186</v>
      </c>
      <c r="I42" s="36" t="s">
        <v>187</v>
      </c>
      <c r="J42" s="36" t="s">
        <v>35</v>
      </c>
      <c r="K42" s="36" t="s">
        <v>36</v>
      </c>
      <c r="L42" s="52" t="s">
        <v>37</v>
      </c>
      <c r="M42" s="36" t="s">
        <v>85</v>
      </c>
      <c r="N42" s="36" t="s">
        <v>1032</v>
      </c>
      <c r="O42" s="36"/>
      <c r="P42" s="36" t="s">
        <v>1031</v>
      </c>
      <c r="Q42" s="36" t="s">
        <v>57</v>
      </c>
      <c r="R42" s="36" t="s">
        <v>9</v>
      </c>
      <c r="S42" s="37" t="s">
        <v>202</v>
      </c>
      <c r="T42" s="38">
        <v>2000000</v>
      </c>
      <c r="U42" s="39">
        <v>2000000</v>
      </c>
      <c r="V42" s="47">
        <v>2000000</v>
      </c>
      <c r="W42" s="28" t="s">
        <v>217</v>
      </c>
      <c r="X42" s="29" t="s">
        <v>147</v>
      </c>
    </row>
    <row r="43" spans="1:29" x14ac:dyDescent="0.2">
      <c r="A43" s="36" t="s">
        <v>218</v>
      </c>
      <c r="B43" s="36" t="s">
        <v>30</v>
      </c>
      <c r="C43" s="36" t="s">
        <v>1029</v>
      </c>
      <c r="D43" s="36"/>
      <c r="E43" s="36"/>
      <c r="F43" s="36" t="s">
        <v>31</v>
      </c>
      <c r="G43" s="36" t="s">
        <v>219</v>
      </c>
      <c r="H43" s="36" t="s">
        <v>220</v>
      </c>
      <c r="I43" s="36" t="s">
        <v>55</v>
      </c>
      <c r="J43" s="36" t="s">
        <v>56</v>
      </c>
      <c r="K43" s="36" t="s">
        <v>36</v>
      </c>
      <c r="L43" s="52" t="s">
        <v>37</v>
      </c>
      <c r="M43" s="36" t="s">
        <v>85</v>
      </c>
      <c r="N43" s="36" t="s">
        <v>1032</v>
      </c>
      <c r="O43" s="36"/>
      <c r="P43" s="36" t="s">
        <v>1031</v>
      </c>
      <c r="Q43" s="36" t="s">
        <v>39</v>
      </c>
      <c r="R43" s="36" t="s">
        <v>8</v>
      </c>
      <c r="S43" s="37" t="s">
        <v>202</v>
      </c>
      <c r="T43" s="38">
        <v>50000</v>
      </c>
      <c r="U43" s="39">
        <v>50000</v>
      </c>
      <c r="V43" s="47">
        <v>50000</v>
      </c>
      <c r="W43" s="28" t="s">
        <v>221</v>
      </c>
      <c r="X43" s="29" t="s">
        <v>147</v>
      </c>
    </row>
    <row r="44" spans="1:29" x14ac:dyDescent="0.2">
      <c r="A44" s="36" t="s">
        <v>222</v>
      </c>
      <c r="B44" s="36" t="s">
        <v>30</v>
      </c>
      <c r="C44" s="36" t="s">
        <v>1029</v>
      </c>
      <c r="D44" s="36"/>
      <c r="E44" s="36"/>
      <c r="F44" s="36" t="s">
        <v>31</v>
      </c>
      <c r="G44" s="36" t="s">
        <v>223</v>
      </c>
      <c r="H44" s="36" t="s">
        <v>224</v>
      </c>
      <c r="I44" s="36" t="s">
        <v>55</v>
      </c>
      <c r="J44" s="36" t="s">
        <v>56</v>
      </c>
      <c r="K44" s="36" t="s">
        <v>36</v>
      </c>
      <c r="L44" s="52" t="s">
        <v>101</v>
      </c>
      <c r="M44" s="36" t="s">
        <v>85</v>
      </c>
      <c r="N44" s="36" t="s">
        <v>1032</v>
      </c>
      <c r="O44" s="36"/>
      <c r="P44" s="36" t="s">
        <v>1031</v>
      </c>
      <c r="Q44" s="36" t="s">
        <v>39</v>
      </c>
      <c r="R44" s="36" t="s">
        <v>9</v>
      </c>
      <c r="S44" s="37" t="s">
        <v>202</v>
      </c>
      <c r="T44" s="38">
        <v>21716.32</v>
      </c>
      <c r="U44" s="39">
        <v>26802.61</v>
      </c>
      <c r="V44" s="47">
        <v>26802.61</v>
      </c>
      <c r="W44" s="28" t="s">
        <v>225</v>
      </c>
      <c r="X44" s="29" t="s">
        <v>147</v>
      </c>
    </row>
    <row r="45" spans="1:29" x14ac:dyDescent="0.2">
      <c r="A45" s="36" t="s">
        <v>226</v>
      </c>
      <c r="B45" s="36" t="s">
        <v>30</v>
      </c>
      <c r="C45" s="36" t="s">
        <v>1029</v>
      </c>
      <c r="D45" s="36"/>
      <c r="E45" s="36"/>
      <c r="F45" s="36" t="s">
        <v>31</v>
      </c>
      <c r="G45" s="36" t="s">
        <v>227</v>
      </c>
      <c r="H45" s="36" t="s">
        <v>197</v>
      </c>
      <c r="I45" s="36" t="s">
        <v>55</v>
      </c>
      <c r="J45" s="36" t="s">
        <v>56</v>
      </c>
      <c r="K45" s="36" t="s">
        <v>36</v>
      </c>
      <c r="L45" s="52" t="s">
        <v>37</v>
      </c>
      <c r="M45" s="36" t="s">
        <v>85</v>
      </c>
      <c r="N45" s="36" t="s">
        <v>1032</v>
      </c>
      <c r="O45" s="36"/>
      <c r="P45" s="36" t="s">
        <v>1031</v>
      </c>
      <c r="Q45" s="36" t="s">
        <v>39</v>
      </c>
      <c r="R45" s="36" t="s">
        <v>8</v>
      </c>
      <c r="S45" s="37" t="s">
        <v>202</v>
      </c>
      <c r="T45" s="38">
        <v>348227.43</v>
      </c>
      <c r="U45" s="39">
        <v>366182.89</v>
      </c>
      <c r="V45" s="47">
        <v>366182.89</v>
      </c>
      <c r="W45" s="28" t="s">
        <v>228</v>
      </c>
      <c r="X45" s="29" t="s">
        <v>147</v>
      </c>
    </row>
    <row r="46" spans="1:29" x14ac:dyDescent="0.2">
      <c r="A46" s="36" t="s">
        <v>229</v>
      </c>
      <c r="B46" s="36" t="s">
        <v>30</v>
      </c>
      <c r="C46" s="36" t="s">
        <v>1029</v>
      </c>
      <c r="D46" s="36"/>
      <c r="E46" s="36"/>
      <c r="F46" s="36" t="s">
        <v>31</v>
      </c>
      <c r="G46" s="36" t="s">
        <v>230</v>
      </c>
      <c r="H46" s="36" t="s">
        <v>231</v>
      </c>
      <c r="I46" s="36" t="s">
        <v>232</v>
      </c>
      <c r="J46" s="36" t="s">
        <v>133</v>
      </c>
      <c r="K46" s="36" t="s">
        <v>36</v>
      </c>
      <c r="L46" s="52" t="s">
        <v>101</v>
      </c>
      <c r="M46" s="36" t="s">
        <v>85</v>
      </c>
      <c r="N46" s="36" t="s">
        <v>1032</v>
      </c>
      <c r="O46" s="36"/>
      <c r="P46" s="36" t="s">
        <v>1031</v>
      </c>
      <c r="Q46" s="36" t="s">
        <v>39</v>
      </c>
      <c r="R46" s="36" t="s">
        <v>8</v>
      </c>
      <c r="S46" s="37" t="s">
        <v>202</v>
      </c>
      <c r="T46" s="38">
        <v>19956.38</v>
      </c>
      <c r="U46" s="39">
        <v>18027.88</v>
      </c>
      <c r="V46" s="47">
        <v>18027.88</v>
      </c>
      <c r="W46" s="28" t="s">
        <v>233</v>
      </c>
      <c r="X46" s="29" t="s">
        <v>147</v>
      </c>
    </row>
    <row r="47" spans="1:29" x14ac:dyDescent="0.2">
      <c r="A47" s="36" t="s">
        <v>234</v>
      </c>
      <c r="B47" s="36" t="s">
        <v>30</v>
      </c>
      <c r="C47" s="36" t="s">
        <v>1029</v>
      </c>
      <c r="D47" s="36"/>
      <c r="E47" s="36"/>
      <c r="F47" s="36" t="s">
        <v>31</v>
      </c>
      <c r="G47" s="36" t="s">
        <v>235</v>
      </c>
      <c r="H47" s="36" t="s">
        <v>236</v>
      </c>
      <c r="I47" s="36" t="s">
        <v>237</v>
      </c>
      <c r="J47" s="36" t="s">
        <v>35</v>
      </c>
      <c r="K47" s="36" t="s">
        <v>36</v>
      </c>
      <c r="L47" s="52" t="s">
        <v>37</v>
      </c>
      <c r="M47" s="36" t="s">
        <v>85</v>
      </c>
      <c r="N47" s="36" t="s">
        <v>1032</v>
      </c>
      <c r="O47" s="36"/>
      <c r="P47" s="36" t="s">
        <v>1031</v>
      </c>
      <c r="Q47" s="36" t="s">
        <v>39</v>
      </c>
      <c r="R47" s="36" t="s">
        <v>8</v>
      </c>
      <c r="S47" s="37" t="s">
        <v>202</v>
      </c>
      <c r="T47" s="38">
        <v>20000</v>
      </c>
      <c r="U47" s="39">
        <v>19984.900000000001</v>
      </c>
      <c r="V47" s="47">
        <v>19984.900000000001</v>
      </c>
      <c r="W47" s="28" t="s">
        <v>238</v>
      </c>
      <c r="X47" s="29" t="s">
        <v>147</v>
      </c>
    </row>
    <row r="48" spans="1:29" x14ac:dyDescent="0.2">
      <c r="A48" s="36" t="s">
        <v>239</v>
      </c>
      <c r="B48" s="36" t="s">
        <v>30</v>
      </c>
      <c r="C48" s="36" t="s">
        <v>1029</v>
      </c>
      <c r="D48" s="36"/>
      <c r="E48" s="36"/>
      <c r="F48" s="36" t="s">
        <v>31</v>
      </c>
      <c r="G48" s="36" t="s">
        <v>240</v>
      </c>
      <c r="H48" s="36" t="s">
        <v>241</v>
      </c>
      <c r="I48" s="36" t="s">
        <v>242</v>
      </c>
      <c r="J48" s="36" t="s">
        <v>133</v>
      </c>
      <c r="K48" s="36" t="s">
        <v>36</v>
      </c>
      <c r="L48" s="52" t="s">
        <v>101</v>
      </c>
      <c r="M48" s="36" t="s">
        <v>85</v>
      </c>
      <c r="N48" s="36" t="s">
        <v>1032</v>
      </c>
      <c r="O48" s="36"/>
      <c r="P48" s="36" t="s">
        <v>1031</v>
      </c>
      <c r="Q48" s="36" t="s">
        <v>39</v>
      </c>
      <c r="R48" s="36" t="s">
        <v>8</v>
      </c>
      <c r="S48" s="37" t="s">
        <v>202</v>
      </c>
      <c r="T48" s="38">
        <v>20000</v>
      </c>
      <c r="U48" s="39">
        <v>20000</v>
      </c>
      <c r="V48" s="47">
        <v>20000</v>
      </c>
      <c r="W48" s="28" t="s">
        <v>243</v>
      </c>
      <c r="X48" s="29" t="s">
        <v>147</v>
      </c>
    </row>
    <row r="49" spans="1:29" x14ac:dyDescent="0.2">
      <c r="A49" s="36" t="s">
        <v>244</v>
      </c>
      <c r="B49" s="36" t="s">
        <v>30</v>
      </c>
      <c r="C49" s="36" t="s">
        <v>1029</v>
      </c>
      <c r="D49" s="36"/>
      <c r="E49" s="36"/>
      <c r="F49" s="36" t="s">
        <v>31</v>
      </c>
      <c r="G49" s="36" t="s">
        <v>245</v>
      </c>
      <c r="H49" s="36" t="s">
        <v>246</v>
      </c>
      <c r="I49" s="36" t="s">
        <v>100</v>
      </c>
      <c r="J49" s="36" t="s">
        <v>35</v>
      </c>
      <c r="K49" s="36" t="s">
        <v>36</v>
      </c>
      <c r="L49" s="52" t="s">
        <v>101</v>
      </c>
      <c r="M49" s="36" t="s">
        <v>85</v>
      </c>
      <c r="N49" s="36" t="s">
        <v>1032</v>
      </c>
      <c r="O49" s="36"/>
      <c r="P49" s="36" t="s">
        <v>1031</v>
      </c>
      <c r="Q49" s="36" t="s">
        <v>39</v>
      </c>
      <c r="R49" s="36" t="s">
        <v>8</v>
      </c>
      <c r="S49" s="37" t="s">
        <v>202</v>
      </c>
      <c r="T49" s="38">
        <v>20000</v>
      </c>
      <c r="U49" s="39">
        <v>17128.09</v>
      </c>
      <c r="V49" s="47">
        <v>17128.09</v>
      </c>
      <c r="W49" s="28" t="s">
        <v>247</v>
      </c>
      <c r="X49" s="29" t="s">
        <v>147</v>
      </c>
    </row>
    <row r="50" spans="1:29" x14ac:dyDescent="0.2">
      <c r="A50" s="36" t="s">
        <v>248</v>
      </c>
      <c r="B50" s="36" t="s">
        <v>30</v>
      </c>
      <c r="C50" s="36" t="s">
        <v>1029</v>
      </c>
      <c r="D50" s="36"/>
      <c r="E50" s="36"/>
      <c r="F50" s="36" t="s">
        <v>31</v>
      </c>
      <c r="G50" s="36" t="s">
        <v>249</v>
      </c>
      <c r="H50" s="36" t="s">
        <v>220</v>
      </c>
      <c r="I50" s="36" t="s">
        <v>55</v>
      </c>
      <c r="J50" s="36" t="s">
        <v>56</v>
      </c>
      <c r="K50" s="36" t="s">
        <v>36</v>
      </c>
      <c r="L50" s="52" t="s">
        <v>37</v>
      </c>
      <c r="M50" s="36" t="s">
        <v>85</v>
      </c>
      <c r="N50" s="36" t="s">
        <v>1032</v>
      </c>
      <c r="O50" s="36"/>
      <c r="P50" s="36" t="s">
        <v>1031</v>
      </c>
      <c r="Q50" s="36" t="s">
        <v>39</v>
      </c>
      <c r="R50" s="36" t="s">
        <v>8</v>
      </c>
      <c r="S50" s="37" t="s">
        <v>202</v>
      </c>
      <c r="T50" s="38">
        <v>99600</v>
      </c>
      <c r="U50" s="39">
        <v>99600</v>
      </c>
      <c r="V50" s="47">
        <v>99600</v>
      </c>
      <c r="W50" s="28" t="s">
        <v>250</v>
      </c>
      <c r="X50" s="29" t="s">
        <v>147</v>
      </c>
    </row>
    <row r="51" spans="1:29" x14ac:dyDescent="0.2">
      <c r="A51" s="36" t="s">
        <v>251</v>
      </c>
      <c r="B51" s="36" t="s">
        <v>30</v>
      </c>
      <c r="C51" s="36" t="s">
        <v>1029</v>
      </c>
      <c r="D51" s="36"/>
      <c r="E51" s="36"/>
      <c r="F51" s="36" t="s">
        <v>31</v>
      </c>
      <c r="G51" s="36" t="s">
        <v>252</v>
      </c>
      <c r="H51" s="36" t="s">
        <v>253</v>
      </c>
      <c r="I51" s="36" t="s">
        <v>132</v>
      </c>
      <c r="J51" s="36" t="s">
        <v>133</v>
      </c>
      <c r="K51" s="36" t="s">
        <v>36</v>
      </c>
      <c r="L51" s="52" t="s">
        <v>37</v>
      </c>
      <c r="M51" s="36" t="s">
        <v>85</v>
      </c>
      <c r="N51" s="36" t="s">
        <v>1032</v>
      </c>
      <c r="O51" s="36"/>
      <c r="P51" s="36" t="s">
        <v>1031</v>
      </c>
      <c r="Q51" s="36" t="s">
        <v>39</v>
      </c>
      <c r="R51" s="36" t="s">
        <v>8</v>
      </c>
      <c r="S51" s="37" t="s">
        <v>202</v>
      </c>
      <c r="T51" s="38">
        <v>19666.57</v>
      </c>
      <c r="U51" s="39">
        <v>14824.65</v>
      </c>
      <c r="V51" s="47">
        <v>14824.65</v>
      </c>
      <c r="W51" s="28" t="s">
        <v>254</v>
      </c>
      <c r="X51" s="29" t="s">
        <v>147</v>
      </c>
    </row>
    <row r="52" spans="1:29" x14ac:dyDescent="0.2">
      <c r="A52" s="36" t="s">
        <v>255</v>
      </c>
      <c r="B52" s="36" t="s">
        <v>30</v>
      </c>
      <c r="C52" s="36" t="s">
        <v>1029</v>
      </c>
      <c r="D52" s="36"/>
      <c r="E52" s="36"/>
      <c r="F52" s="36" t="s">
        <v>31</v>
      </c>
      <c r="G52" s="36" t="s">
        <v>256</v>
      </c>
      <c r="H52" s="36" t="s">
        <v>257</v>
      </c>
      <c r="I52" s="36" t="s">
        <v>55</v>
      </c>
      <c r="J52" s="36" t="s">
        <v>56</v>
      </c>
      <c r="K52" s="36" t="s">
        <v>36</v>
      </c>
      <c r="L52" s="52" t="s">
        <v>101</v>
      </c>
      <c r="M52" s="36" t="s">
        <v>85</v>
      </c>
      <c r="N52" s="36" t="s">
        <v>1032</v>
      </c>
      <c r="O52" s="36"/>
      <c r="P52" s="36" t="s">
        <v>1031</v>
      </c>
      <c r="Q52" s="36" t="s">
        <v>57</v>
      </c>
      <c r="R52" s="36" t="s">
        <v>8</v>
      </c>
      <c r="S52" s="37" t="s">
        <v>202</v>
      </c>
      <c r="T52" s="38">
        <v>20000</v>
      </c>
      <c r="U52" s="39">
        <v>12258.9</v>
      </c>
      <c r="V52" s="47">
        <v>12258.9</v>
      </c>
      <c r="W52" s="28" t="s">
        <v>258</v>
      </c>
      <c r="X52" s="29" t="s">
        <v>147</v>
      </c>
    </row>
    <row r="53" spans="1:29" x14ac:dyDescent="0.2">
      <c r="A53" s="36" t="s">
        <v>259</v>
      </c>
      <c r="B53" s="36" t="s">
        <v>30</v>
      </c>
      <c r="C53" s="36" t="s">
        <v>1029</v>
      </c>
      <c r="D53" s="36"/>
      <c r="E53" s="36"/>
      <c r="F53" s="36" t="s">
        <v>31</v>
      </c>
      <c r="G53" s="36" t="s">
        <v>260</v>
      </c>
      <c r="H53" s="36" t="s">
        <v>261</v>
      </c>
      <c r="I53" s="36" t="s">
        <v>159</v>
      </c>
      <c r="J53" s="36" t="s">
        <v>35</v>
      </c>
      <c r="K53" s="36" t="s">
        <v>36</v>
      </c>
      <c r="L53" s="52" t="s">
        <v>101</v>
      </c>
      <c r="M53" s="36" t="s">
        <v>262</v>
      </c>
      <c r="N53" s="36" t="s">
        <v>1032</v>
      </c>
      <c r="O53" s="36"/>
      <c r="P53" s="36"/>
      <c r="Q53" s="36" t="s">
        <v>134</v>
      </c>
      <c r="R53" s="36" t="s">
        <v>8</v>
      </c>
      <c r="S53" s="37" t="s">
        <v>263</v>
      </c>
      <c r="T53" s="42">
        <v>40621.269999999997</v>
      </c>
      <c r="U53" s="39">
        <v>40621.269999999997</v>
      </c>
      <c r="V53" s="47">
        <v>40621.269999999997</v>
      </c>
      <c r="W53" s="28" t="s">
        <v>264</v>
      </c>
      <c r="X53" s="29" t="s">
        <v>82</v>
      </c>
    </row>
    <row r="54" spans="1:29" x14ac:dyDescent="0.2">
      <c r="A54" s="36" t="s">
        <v>265</v>
      </c>
      <c r="B54" s="36" t="s">
        <v>30</v>
      </c>
      <c r="C54" s="36" t="s">
        <v>1029</v>
      </c>
      <c r="D54" s="36"/>
      <c r="E54" s="36"/>
      <c r="F54" s="36" t="s">
        <v>31</v>
      </c>
      <c r="G54" s="36" t="s">
        <v>266</v>
      </c>
      <c r="H54" s="36" t="s">
        <v>99</v>
      </c>
      <c r="I54" s="36" t="s">
        <v>100</v>
      </c>
      <c r="J54" s="36" t="s">
        <v>35</v>
      </c>
      <c r="K54" s="36" t="s">
        <v>36</v>
      </c>
      <c r="L54" s="52" t="s">
        <v>95</v>
      </c>
      <c r="M54" s="36" t="s">
        <v>262</v>
      </c>
      <c r="N54" s="36" t="s">
        <v>1032</v>
      </c>
      <c r="O54" s="36"/>
      <c r="P54" s="36"/>
      <c r="Q54" s="36" t="s">
        <v>134</v>
      </c>
      <c r="R54" s="36" t="s">
        <v>5</v>
      </c>
      <c r="S54" s="37" t="s">
        <v>263</v>
      </c>
      <c r="T54" s="42">
        <v>4991729.57</v>
      </c>
      <c r="U54" s="39">
        <v>5375750.0899999999</v>
      </c>
      <c r="V54" s="47">
        <v>5375750.0899999999</v>
      </c>
      <c r="W54" s="28" t="s">
        <v>267</v>
      </c>
      <c r="X54" s="29" t="s">
        <v>82</v>
      </c>
      <c r="AA54" s="78">
        <v>1</v>
      </c>
      <c r="AB54" s="78">
        <v>1</v>
      </c>
      <c r="AC54" s="78">
        <v>1</v>
      </c>
    </row>
    <row r="55" spans="1:29" x14ac:dyDescent="0.2">
      <c r="A55" s="36" t="s">
        <v>268</v>
      </c>
      <c r="B55" s="36" t="s">
        <v>30</v>
      </c>
      <c r="C55" s="36" t="s">
        <v>1029</v>
      </c>
      <c r="D55" s="36"/>
      <c r="E55" s="36"/>
      <c r="F55" s="36" t="s">
        <v>31</v>
      </c>
      <c r="G55" s="36" t="s">
        <v>269</v>
      </c>
      <c r="H55" s="36" t="s">
        <v>99</v>
      </c>
      <c r="I55" s="36" t="s">
        <v>100</v>
      </c>
      <c r="J55" s="36" t="s">
        <v>35</v>
      </c>
      <c r="K55" s="36" t="s">
        <v>36</v>
      </c>
      <c r="L55" s="52" t="s">
        <v>95</v>
      </c>
      <c r="M55" s="36" t="s">
        <v>262</v>
      </c>
      <c r="N55" s="36" t="s">
        <v>1032</v>
      </c>
      <c r="O55" s="36"/>
      <c r="P55" s="36"/>
      <c r="Q55" s="36" t="s">
        <v>134</v>
      </c>
      <c r="R55" s="36" t="s">
        <v>5</v>
      </c>
      <c r="S55" s="37" t="s">
        <v>263</v>
      </c>
      <c r="T55" s="42">
        <v>3240788.92</v>
      </c>
      <c r="U55" s="39">
        <v>3240788.92</v>
      </c>
      <c r="V55" s="47">
        <v>3240788.92</v>
      </c>
      <c r="W55" s="28" t="s">
        <v>270</v>
      </c>
      <c r="X55" s="29" t="s">
        <v>82</v>
      </c>
      <c r="AA55" s="78">
        <v>1</v>
      </c>
      <c r="AB55" s="78">
        <v>1</v>
      </c>
      <c r="AC55" s="78">
        <v>1</v>
      </c>
    </row>
    <row r="56" spans="1:29" x14ac:dyDescent="0.2">
      <c r="A56" s="36" t="s">
        <v>271</v>
      </c>
      <c r="B56" s="36" t="s">
        <v>30</v>
      </c>
      <c r="C56" s="36" t="s">
        <v>1029</v>
      </c>
      <c r="D56" s="36"/>
      <c r="E56" s="36"/>
      <c r="F56" s="36" t="s">
        <v>31</v>
      </c>
      <c r="G56" s="36" t="s">
        <v>272</v>
      </c>
      <c r="H56" s="36" t="s">
        <v>273</v>
      </c>
      <c r="I56" s="36" t="s">
        <v>274</v>
      </c>
      <c r="J56" s="36" t="s">
        <v>35</v>
      </c>
      <c r="K56" s="36" t="s">
        <v>36</v>
      </c>
      <c r="L56" s="52" t="s">
        <v>101</v>
      </c>
      <c r="M56" s="36" t="s">
        <v>262</v>
      </c>
      <c r="N56" s="36" t="s">
        <v>1032</v>
      </c>
      <c r="O56" s="36"/>
      <c r="P56" s="36"/>
      <c r="Q56" s="36" t="s">
        <v>134</v>
      </c>
      <c r="R56" s="36" t="s">
        <v>9</v>
      </c>
      <c r="S56" s="37" t="s">
        <v>263</v>
      </c>
      <c r="T56" s="39">
        <v>99996</v>
      </c>
      <c r="U56" s="39">
        <v>149996</v>
      </c>
      <c r="V56" s="47">
        <v>149996</v>
      </c>
      <c r="W56" s="30" t="s">
        <v>275</v>
      </c>
      <c r="X56" s="29" t="s">
        <v>82</v>
      </c>
    </row>
    <row r="57" spans="1:29" x14ac:dyDescent="0.2">
      <c r="A57" s="36" t="s">
        <v>276</v>
      </c>
      <c r="B57" s="36" t="s">
        <v>30</v>
      </c>
      <c r="C57" s="36" t="s">
        <v>1029</v>
      </c>
      <c r="D57" s="36"/>
      <c r="E57" s="36"/>
      <c r="F57" s="36" t="s">
        <v>31</v>
      </c>
      <c r="G57" s="36" t="s">
        <v>277</v>
      </c>
      <c r="H57" s="36" t="s">
        <v>278</v>
      </c>
      <c r="I57" s="36" t="s">
        <v>46</v>
      </c>
      <c r="J57" s="36" t="s">
        <v>35</v>
      </c>
      <c r="K57" s="36" t="s">
        <v>36</v>
      </c>
      <c r="L57" s="52" t="s">
        <v>37</v>
      </c>
      <c r="M57" s="36" t="s">
        <v>262</v>
      </c>
      <c r="N57" s="36" t="s">
        <v>1032</v>
      </c>
      <c r="O57" s="36"/>
      <c r="P57" s="36"/>
      <c r="Q57" s="36" t="s">
        <v>134</v>
      </c>
      <c r="R57" s="36" t="s">
        <v>9</v>
      </c>
      <c r="S57" s="37">
        <v>44834</v>
      </c>
      <c r="T57" s="42">
        <v>451572.01</v>
      </c>
      <c r="U57" s="39">
        <v>451572.01</v>
      </c>
      <c r="V57" s="47">
        <v>451572.01</v>
      </c>
      <c r="W57" s="28" t="s">
        <v>279</v>
      </c>
      <c r="X57" s="29" t="s">
        <v>82</v>
      </c>
    </row>
    <row r="58" spans="1:29" x14ac:dyDescent="0.2">
      <c r="A58" s="36" t="s">
        <v>280</v>
      </c>
      <c r="B58" s="36" t="s">
        <v>30</v>
      </c>
      <c r="C58" s="36" t="s">
        <v>1029</v>
      </c>
      <c r="D58" s="36"/>
      <c r="E58" s="36"/>
      <c r="F58" s="36" t="s">
        <v>31</v>
      </c>
      <c r="G58" s="36" t="s">
        <v>281</v>
      </c>
      <c r="H58" s="36" t="s">
        <v>282</v>
      </c>
      <c r="I58" s="36" t="s">
        <v>283</v>
      </c>
      <c r="J58" s="36" t="s">
        <v>133</v>
      </c>
      <c r="K58" s="36" t="s">
        <v>36</v>
      </c>
      <c r="L58" s="52" t="s">
        <v>47</v>
      </c>
      <c r="M58" s="43" t="s">
        <v>284</v>
      </c>
      <c r="N58" s="43" t="s">
        <v>1030</v>
      </c>
      <c r="O58" s="43" t="s">
        <v>284</v>
      </c>
      <c r="P58" s="43"/>
      <c r="Q58" s="36" t="s">
        <v>134</v>
      </c>
      <c r="R58" s="36" t="s">
        <v>5</v>
      </c>
      <c r="S58" s="37" t="s">
        <v>285</v>
      </c>
      <c r="T58" s="42">
        <v>1967644</v>
      </c>
      <c r="U58" s="39">
        <v>1967644</v>
      </c>
      <c r="V58" s="47">
        <v>1967644</v>
      </c>
      <c r="W58" s="28" t="s">
        <v>286</v>
      </c>
      <c r="X58" s="29" t="s">
        <v>287</v>
      </c>
      <c r="Y58" s="75" t="s">
        <v>1031</v>
      </c>
      <c r="Z58" s="75" t="s">
        <v>1034</v>
      </c>
      <c r="AA58">
        <v>1</v>
      </c>
      <c r="AB58">
        <v>1</v>
      </c>
      <c r="AC58">
        <v>3</v>
      </c>
    </row>
    <row r="59" spans="1:29" x14ac:dyDescent="0.2">
      <c r="A59" s="36" t="s">
        <v>288</v>
      </c>
      <c r="B59" s="36" t="s">
        <v>30</v>
      </c>
      <c r="C59" s="36" t="s">
        <v>1029</v>
      </c>
      <c r="D59" s="36"/>
      <c r="E59" s="36"/>
      <c r="F59" s="36" t="s">
        <v>31</v>
      </c>
      <c r="G59" s="36" t="s">
        <v>289</v>
      </c>
      <c r="H59" s="36" t="s">
        <v>91</v>
      </c>
      <c r="I59" s="36" t="s">
        <v>55</v>
      </c>
      <c r="J59" s="36" t="s">
        <v>56</v>
      </c>
      <c r="K59" s="36" t="s">
        <v>36</v>
      </c>
      <c r="L59" s="52" t="s">
        <v>47</v>
      </c>
      <c r="M59" s="43" t="s">
        <v>284</v>
      </c>
      <c r="N59" s="43" t="s">
        <v>1030</v>
      </c>
      <c r="O59" s="43" t="s">
        <v>284</v>
      </c>
      <c r="P59" s="43"/>
      <c r="Q59" s="36" t="s">
        <v>134</v>
      </c>
      <c r="R59" s="36" t="s">
        <v>5</v>
      </c>
      <c r="S59" s="37" t="s">
        <v>285</v>
      </c>
      <c r="T59" s="42">
        <v>153635.67000000001</v>
      </c>
      <c r="U59" s="39">
        <v>153635.67000000001</v>
      </c>
      <c r="V59" s="47">
        <v>153635.67000000001</v>
      </c>
      <c r="W59" s="28" t="s">
        <v>290</v>
      </c>
      <c r="X59" s="29" t="s">
        <v>287</v>
      </c>
      <c r="Y59" s="75" t="s">
        <v>1031</v>
      </c>
      <c r="Z59" s="75" t="s">
        <v>1034</v>
      </c>
      <c r="AA59">
        <v>1</v>
      </c>
      <c r="AB59">
        <v>1</v>
      </c>
      <c r="AC59">
        <v>3</v>
      </c>
    </row>
    <row r="60" spans="1:29" x14ac:dyDescent="0.2">
      <c r="A60" s="36" t="s">
        <v>291</v>
      </c>
      <c r="B60" s="36" t="s">
        <v>30</v>
      </c>
      <c r="C60" s="36" t="s">
        <v>1029</v>
      </c>
      <c r="D60" s="36"/>
      <c r="E60" s="36"/>
      <c r="F60" s="36" t="s">
        <v>31</v>
      </c>
      <c r="G60" s="36" t="s">
        <v>289</v>
      </c>
      <c r="H60" s="36" t="s">
        <v>292</v>
      </c>
      <c r="I60" s="36" t="s">
        <v>232</v>
      </c>
      <c r="J60" s="36" t="s">
        <v>133</v>
      </c>
      <c r="K60" s="36" t="s">
        <v>36</v>
      </c>
      <c r="L60" s="52" t="s">
        <v>47</v>
      </c>
      <c r="M60" s="43" t="s">
        <v>284</v>
      </c>
      <c r="N60" s="43" t="s">
        <v>1030</v>
      </c>
      <c r="O60" s="43" t="s">
        <v>284</v>
      </c>
      <c r="P60" s="43"/>
      <c r="Q60" s="36" t="s">
        <v>134</v>
      </c>
      <c r="R60" s="36" t="s">
        <v>5</v>
      </c>
      <c r="S60" s="37" t="s">
        <v>285</v>
      </c>
      <c r="T60" s="42">
        <v>1954921.6</v>
      </c>
      <c r="U60" s="39">
        <v>1954921.6</v>
      </c>
      <c r="V60" s="47">
        <v>1954921.6</v>
      </c>
      <c r="W60" s="28" t="s">
        <v>293</v>
      </c>
      <c r="X60" s="29" t="s">
        <v>287</v>
      </c>
      <c r="Y60" s="75" t="s">
        <v>1031</v>
      </c>
      <c r="Z60" s="75" t="s">
        <v>1034</v>
      </c>
      <c r="AA60">
        <v>1</v>
      </c>
      <c r="AB60">
        <v>1</v>
      </c>
      <c r="AC60">
        <v>3</v>
      </c>
    </row>
    <row r="61" spans="1:29" x14ac:dyDescent="0.2">
      <c r="A61" s="36" t="s">
        <v>294</v>
      </c>
      <c r="B61" s="36" t="s">
        <v>30</v>
      </c>
      <c r="C61" s="36" t="s">
        <v>1029</v>
      </c>
      <c r="D61" s="36"/>
      <c r="E61" s="36"/>
      <c r="F61" s="36" t="s">
        <v>31</v>
      </c>
      <c r="G61" s="36" t="s">
        <v>295</v>
      </c>
      <c r="H61" s="36" t="s">
        <v>296</v>
      </c>
      <c r="I61" s="36" t="s">
        <v>297</v>
      </c>
      <c r="J61" s="36" t="s">
        <v>35</v>
      </c>
      <c r="K61" s="36" t="s">
        <v>36</v>
      </c>
      <c r="L61" s="52" t="s">
        <v>47</v>
      </c>
      <c r="M61" s="43" t="s">
        <v>284</v>
      </c>
      <c r="N61" s="43" t="s">
        <v>1030</v>
      </c>
      <c r="O61" s="43" t="s">
        <v>284</v>
      </c>
      <c r="P61" s="43"/>
      <c r="Q61" s="36" t="s">
        <v>134</v>
      </c>
      <c r="R61" s="36" t="s">
        <v>5</v>
      </c>
      <c r="S61" s="37" t="s">
        <v>285</v>
      </c>
      <c r="T61" s="42">
        <v>1916402.35</v>
      </c>
      <c r="U61" s="39">
        <v>1964772.31</v>
      </c>
      <c r="V61" s="47">
        <v>1964772.31</v>
      </c>
      <c r="W61" s="28" t="s">
        <v>298</v>
      </c>
      <c r="X61" s="29" t="s">
        <v>287</v>
      </c>
      <c r="Y61" s="75" t="s">
        <v>1031</v>
      </c>
      <c r="Z61" s="75" t="s">
        <v>1034</v>
      </c>
      <c r="AA61">
        <v>1</v>
      </c>
      <c r="AB61">
        <v>1</v>
      </c>
      <c r="AC61">
        <v>3</v>
      </c>
    </row>
    <row r="62" spans="1:29" x14ac:dyDescent="0.2">
      <c r="A62" s="36" t="s">
        <v>299</v>
      </c>
      <c r="B62" s="36" t="s">
        <v>30</v>
      </c>
      <c r="C62" s="36" t="s">
        <v>1029</v>
      </c>
      <c r="D62" s="36"/>
      <c r="E62" s="36"/>
      <c r="F62" s="36" t="s">
        <v>31</v>
      </c>
      <c r="G62" s="36" t="s">
        <v>300</v>
      </c>
      <c r="H62" s="36" t="s">
        <v>301</v>
      </c>
      <c r="I62" s="36" t="s">
        <v>302</v>
      </c>
      <c r="J62" s="36" t="s">
        <v>133</v>
      </c>
      <c r="K62" s="36" t="s">
        <v>36</v>
      </c>
      <c r="L62" s="52" t="s">
        <v>47</v>
      </c>
      <c r="M62" s="43" t="s">
        <v>284</v>
      </c>
      <c r="N62" s="43" t="s">
        <v>1030</v>
      </c>
      <c r="O62" s="43" t="s">
        <v>284</v>
      </c>
      <c r="P62" s="43"/>
      <c r="Q62" s="36" t="s">
        <v>134</v>
      </c>
      <c r="R62" s="36" t="s">
        <v>5</v>
      </c>
      <c r="S62" s="37" t="s">
        <v>285</v>
      </c>
      <c r="T62" s="42">
        <v>1765252.84</v>
      </c>
      <c r="U62" s="39">
        <v>1656716.78</v>
      </c>
      <c r="V62" s="47">
        <v>1656716.78</v>
      </c>
      <c r="W62" s="28" t="s">
        <v>303</v>
      </c>
      <c r="X62" s="29" t="s">
        <v>287</v>
      </c>
      <c r="Y62" s="75" t="s">
        <v>1031</v>
      </c>
      <c r="Z62" s="75" t="s">
        <v>1034</v>
      </c>
      <c r="AA62">
        <v>1</v>
      </c>
      <c r="AB62">
        <v>1</v>
      </c>
      <c r="AC62">
        <v>3</v>
      </c>
    </row>
    <row r="63" spans="1:29" x14ac:dyDescent="0.2">
      <c r="A63" s="36" t="s">
        <v>304</v>
      </c>
      <c r="B63" s="36" t="s">
        <v>30</v>
      </c>
      <c r="C63" s="36" t="s">
        <v>1029</v>
      </c>
      <c r="D63" s="36"/>
      <c r="E63" s="36"/>
      <c r="F63" s="36" t="s">
        <v>31</v>
      </c>
      <c r="G63" s="36" t="s">
        <v>305</v>
      </c>
      <c r="H63" s="36" t="s">
        <v>306</v>
      </c>
      <c r="I63" s="36" t="s">
        <v>307</v>
      </c>
      <c r="J63" s="36" t="s">
        <v>133</v>
      </c>
      <c r="K63" s="36" t="s">
        <v>36</v>
      </c>
      <c r="L63" s="52" t="s">
        <v>47</v>
      </c>
      <c r="M63" s="43" t="s">
        <v>284</v>
      </c>
      <c r="N63" s="43" t="s">
        <v>1030</v>
      </c>
      <c r="O63" s="43" t="s">
        <v>284</v>
      </c>
      <c r="P63" s="43"/>
      <c r="Q63" s="36" t="s">
        <v>134</v>
      </c>
      <c r="R63" s="36" t="s">
        <v>5</v>
      </c>
      <c r="S63" s="37" t="s">
        <v>285</v>
      </c>
      <c r="T63" s="42">
        <v>2081241</v>
      </c>
      <c r="U63" s="39">
        <v>2081241</v>
      </c>
      <c r="V63" s="47">
        <v>2081241</v>
      </c>
      <c r="W63" s="28" t="s">
        <v>308</v>
      </c>
      <c r="X63" s="29" t="s">
        <v>287</v>
      </c>
      <c r="Y63" s="75" t="s">
        <v>1031</v>
      </c>
      <c r="Z63" s="75" t="s">
        <v>1034</v>
      </c>
      <c r="AA63">
        <v>1</v>
      </c>
      <c r="AB63">
        <v>1</v>
      </c>
      <c r="AC63">
        <v>3</v>
      </c>
    </row>
    <row r="64" spans="1:29" x14ac:dyDescent="0.2">
      <c r="A64" s="36" t="s">
        <v>309</v>
      </c>
      <c r="B64" s="36" t="s">
        <v>30</v>
      </c>
      <c r="C64" s="36" t="s">
        <v>1029</v>
      </c>
      <c r="D64" s="36"/>
      <c r="E64" s="36"/>
      <c r="F64" s="36" t="s">
        <v>31</v>
      </c>
      <c r="G64" s="36" t="s">
        <v>310</v>
      </c>
      <c r="H64" s="36" t="s">
        <v>311</v>
      </c>
      <c r="I64" s="36" t="s">
        <v>312</v>
      </c>
      <c r="J64" s="36" t="s">
        <v>133</v>
      </c>
      <c r="K64" s="36" t="s">
        <v>36</v>
      </c>
      <c r="L64" s="52" t="s">
        <v>47</v>
      </c>
      <c r="M64" s="43" t="s">
        <v>284</v>
      </c>
      <c r="N64" s="43" t="s">
        <v>1030</v>
      </c>
      <c r="O64" s="43" t="s">
        <v>284</v>
      </c>
      <c r="P64" s="43"/>
      <c r="Q64" s="36" t="s">
        <v>134</v>
      </c>
      <c r="R64" s="36" t="s">
        <v>5</v>
      </c>
      <c r="S64" s="37" t="s">
        <v>285</v>
      </c>
      <c r="T64" s="42">
        <v>1995263</v>
      </c>
      <c r="U64" s="39">
        <v>1700152</v>
      </c>
      <c r="V64" s="47">
        <v>1700152</v>
      </c>
      <c r="W64" s="28" t="s">
        <v>313</v>
      </c>
      <c r="X64" s="29" t="s">
        <v>287</v>
      </c>
      <c r="Y64" s="75" t="s">
        <v>1031</v>
      </c>
      <c r="Z64" s="75" t="s">
        <v>1034</v>
      </c>
      <c r="AA64">
        <v>1</v>
      </c>
      <c r="AB64">
        <v>1</v>
      </c>
      <c r="AC64">
        <v>3</v>
      </c>
    </row>
    <row r="65" spans="1:29" x14ac:dyDescent="0.2">
      <c r="A65" s="36" t="s">
        <v>314</v>
      </c>
      <c r="B65" s="36" t="s">
        <v>30</v>
      </c>
      <c r="C65" s="36" t="s">
        <v>1029</v>
      </c>
      <c r="D65" s="36"/>
      <c r="E65" s="36"/>
      <c r="F65" s="36" t="s">
        <v>31</v>
      </c>
      <c r="G65" s="36" t="s">
        <v>315</v>
      </c>
      <c r="H65" s="36" t="s">
        <v>316</v>
      </c>
      <c r="I65" s="36" t="s">
        <v>132</v>
      </c>
      <c r="J65" s="36" t="s">
        <v>133</v>
      </c>
      <c r="K65" s="36" t="s">
        <v>36</v>
      </c>
      <c r="L65" s="52" t="s">
        <v>47</v>
      </c>
      <c r="M65" s="44" t="s">
        <v>284</v>
      </c>
      <c r="N65" s="43" t="s">
        <v>1030</v>
      </c>
      <c r="O65" s="44" t="s">
        <v>284</v>
      </c>
      <c r="P65" s="44"/>
      <c r="Q65" s="36" t="s">
        <v>134</v>
      </c>
      <c r="R65" s="36" t="s">
        <v>5</v>
      </c>
      <c r="S65" s="37" t="s">
        <v>285</v>
      </c>
      <c r="T65" s="42">
        <v>2059071</v>
      </c>
      <c r="U65" s="39">
        <v>2059071</v>
      </c>
      <c r="V65" s="47">
        <v>2059071</v>
      </c>
      <c r="W65" s="28" t="s">
        <v>317</v>
      </c>
      <c r="X65" s="29" t="s">
        <v>287</v>
      </c>
      <c r="Y65" s="75" t="s">
        <v>1031</v>
      </c>
      <c r="Z65" s="75" t="s">
        <v>1034</v>
      </c>
      <c r="AA65">
        <v>1</v>
      </c>
      <c r="AB65">
        <v>1</v>
      </c>
      <c r="AC65">
        <v>3</v>
      </c>
    </row>
    <row r="66" spans="1:29" x14ac:dyDescent="0.2">
      <c r="A66" s="36" t="s">
        <v>318</v>
      </c>
      <c r="B66" s="36" t="s">
        <v>30</v>
      </c>
      <c r="C66" s="36" t="s">
        <v>1029</v>
      </c>
      <c r="D66" s="36"/>
      <c r="E66" s="36"/>
      <c r="F66" s="36" t="s">
        <v>31</v>
      </c>
      <c r="G66" s="36" t="s">
        <v>319</v>
      </c>
      <c r="H66" s="36" t="s">
        <v>320</v>
      </c>
      <c r="I66" s="36" t="s">
        <v>132</v>
      </c>
      <c r="J66" s="36" t="s">
        <v>133</v>
      </c>
      <c r="K66" s="36" t="s">
        <v>36</v>
      </c>
      <c r="L66" s="52" t="s">
        <v>47</v>
      </c>
      <c r="M66" s="43" t="s">
        <v>284</v>
      </c>
      <c r="N66" s="43" t="s">
        <v>1030</v>
      </c>
      <c r="O66" s="43" t="s">
        <v>284</v>
      </c>
      <c r="P66" s="43"/>
      <c r="Q66" s="36" t="s">
        <v>134</v>
      </c>
      <c r="R66" s="36" t="s">
        <v>5</v>
      </c>
      <c r="S66" s="37" t="s">
        <v>285</v>
      </c>
      <c r="T66" s="42">
        <v>1923263</v>
      </c>
      <c r="U66" s="39">
        <v>1923263</v>
      </c>
      <c r="V66" s="47">
        <v>1923263</v>
      </c>
      <c r="W66" s="28" t="s">
        <v>321</v>
      </c>
      <c r="X66" s="29" t="s">
        <v>287</v>
      </c>
      <c r="Y66" s="75" t="s">
        <v>1031</v>
      </c>
      <c r="Z66" s="75" t="s">
        <v>1034</v>
      </c>
      <c r="AA66">
        <v>1</v>
      </c>
      <c r="AB66">
        <v>1</v>
      </c>
      <c r="AC66">
        <v>3</v>
      </c>
    </row>
    <row r="67" spans="1:29" x14ac:dyDescent="0.2">
      <c r="A67" s="36" t="s">
        <v>322</v>
      </c>
      <c r="B67" s="36" t="s">
        <v>30</v>
      </c>
      <c r="C67" s="36" t="s">
        <v>1029</v>
      </c>
      <c r="D67" s="36"/>
      <c r="E67" s="36"/>
      <c r="F67" s="36" t="s">
        <v>31</v>
      </c>
      <c r="G67" s="36" t="s">
        <v>323</v>
      </c>
      <c r="H67" s="36" t="s">
        <v>324</v>
      </c>
      <c r="I67" s="36" t="s">
        <v>325</v>
      </c>
      <c r="J67" s="36" t="s">
        <v>133</v>
      </c>
      <c r="K67" s="36" t="s">
        <v>36</v>
      </c>
      <c r="L67" s="52" t="s">
        <v>47</v>
      </c>
      <c r="M67" s="43" t="s">
        <v>284</v>
      </c>
      <c r="N67" s="43" t="s">
        <v>1030</v>
      </c>
      <c r="O67" s="43" t="s">
        <v>284</v>
      </c>
      <c r="P67" s="43"/>
      <c r="Q67" s="36" t="s">
        <v>134</v>
      </c>
      <c r="R67" s="36" t="s">
        <v>5</v>
      </c>
      <c r="S67" s="37" t="s">
        <v>285</v>
      </c>
      <c r="T67" s="42">
        <v>1361278.51</v>
      </c>
      <c r="U67" s="39">
        <v>1361278.51</v>
      </c>
      <c r="V67" s="47">
        <v>1361278.51</v>
      </c>
      <c r="W67" s="28" t="s">
        <v>326</v>
      </c>
      <c r="X67" s="29" t="s">
        <v>287</v>
      </c>
      <c r="Y67" s="75" t="s">
        <v>1031</v>
      </c>
      <c r="Z67" s="75" t="s">
        <v>1034</v>
      </c>
      <c r="AA67">
        <v>1</v>
      </c>
      <c r="AB67">
        <v>1</v>
      </c>
      <c r="AC67">
        <v>3</v>
      </c>
    </row>
    <row r="68" spans="1:29" x14ac:dyDescent="0.2">
      <c r="A68" s="36" t="s">
        <v>327</v>
      </c>
      <c r="B68" s="36" t="s">
        <v>30</v>
      </c>
      <c r="C68" s="36" t="s">
        <v>1029</v>
      </c>
      <c r="D68" s="36"/>
      <c r="E68" s="36"/>
      <c r="F68" s="36" t="s">
        <v>31</v>
      </c>
      <c r="G68" s="36" t="s">
        <v>328</v>
      </c>
      <c r="H68" s="36" t="s">
        <v>91</v>
      </c>
      <c r="I68" s="36" t="s">
        <v>55</v>
      </c>
      <c r="J68" s="36" t="s">
        <v>56</v>
      </c>
      <c r="K68" s="36" t="s">
        <v>36</v>
      </c>
      <c r="L68" s="52" t="s">
        <v>37</v>
      </c>
      <c r="M68" s="36" t="s">
        <v>329</v>
      </c>
      <c r="N68" s="43" t="s">
        <v>1030</v>
      </c>
      <c r="O68" s="36" t="s">
        <v>329</v>
      </c>
      <c r="P68" s="36"/>
      <c r="Q68" s="36" t="s">
        <v>134</v>
      </c>
      <c r="R68" s="36" t="s">
        <v>5</v>
      </c>
      <c r="S68" s="37" t="s">
        <v>330</v>
      </c>
      <c r="T68" s="42">
        <v>2039784</v>
      </c>
      <c r="U68" s="39">
        <v>2039784</v>
      </c>
      <c r="V68" s="47">
        <v>2039784</v>
      </c>
      <c r="W68" s="28" t="s">
        <v>331</v>
      </c>
      <c r="X68" s="29" t="s">
        <v>287</v>
      </c>
      <c r="Y68" s="75" t="s">
        <v>1031</v>
      </c>
      <c r="Z68" s="75" t="s">
        <v>1035</v>
      </c>
      <c r="AA68" s="77">
        <v>1</v>
      </c>
      <c r="AB68" s="77">
        <v>1</v>
      </c>
      <c r="AC68" s="77">
        <v>3</v>
      </c>
    </row>
    <row r="69" spans="1:29" x14ac:dyDescent="0.2">
      <c r="A69" s="36" t="s">
        <v>332</v>
      </c>
      <c r="B69" s="36" t="s">
        <v>30</v>
      </c>
      <c r="C69" s="36" t="s">
        <v>1029</v>
      </c>
      <c r="D69" s="36"/>
      <c r="E69" s="36"/>
      <c r="F69" s="36" t="s">
        <v>31</v>
      </c>
      <c r="G69" s="36" t="s">
        <v>333</v>
      </c>
      <c r="H69" s="36" t="s">
        <v>61</v>
      </c>
      <c r="I69" s="36" t="s">
        <v>55</v>
      </c>
      <c r="J69" s="36" t="s">
        <v>56</v>
      </c>
      <c r="K69" s="36" t="s">
        <v>36</v>
      </c>
      <c r="L69" s="52" t="s">
        <v>37</v>
      </c>
      <c r="M69" s="36" t="s">
        <v>329</v>
      </c>
      <c r="N69" s="43" t="s">
        <v>1030</v>
      </c>
      <c r="O69" s="36" t="s">
        <v>329</v>
      </c>
      <c r="P69" s="36"/>
      <c r="Q69" s="36" t="s">
        <v>134</v>
      </c>
      <c r="R69" s="36" t="s">
        <v>5</v>
      </c>
      <c r="S69" s="37" t="s">
        <v>330</v>
      </c>
      <c r="T69" s="42">
        <v>1698601</v>
      </c>
      <c r="U69" s="39">
        <v>1698601</v>
      </c>
      <c r="V69" s="47">
        <v>1698601</v>
      </c>
      <c r="W69" s="28" t="s">
        <v>334</v>
      </c>
      <c r="X69" s="29" t="s">
        <v>287</v>
      </c>
      <c r="Y69" s="75" t="s">
        <v>1031</v>
      </c>
      <c r="Z69" s="75" t="s">
        <v>1035</v>
      </c>
      <c r="AA69" s="77">
        <v>1</v>
      </c>
      <c r="AB69" s="77">
        <v>1</v>
      </c>
      <c r="AC69" s="77">
        <v>2</v>
      </c>
    </row>
    <row r="70" spans="1:29" x14ac:dyDescent="0.2">
      <c r="A70" s="36" t="s">
        <v>335</v>
      </c>
      <c r="B70" s="36" t="s">
        <v>30</v>
      </c>
      <c r="C70" s="36" t="s">
        <v>1029</v>
      </c>
      <c r="D70" s="36"/>
      <c r="E70" s="36"/>
      <c r="F70" s="36" t="s">
        <v>31</v>
      </c>
      <c r="G70" s="36" t="s">
        <v>336</v>
      </c>
      <c r="H70" s="36" t="s">
        <v>127</v>
      </c>
      <c r="I70" s="36" t="s">
        <v>46</v>
      </c>
      <c r="J70" s="36" t="s">
        <v>35</v>
      </c>
      <c r="K70" s="36" t="s">
        <v>36</v>
      </c>
      <c r="L70" s="52" t="s">
        <v>37</v>
      </c>
      <c r="M70" s="36" t="s">
        <v>329</v>
      </c>
      <c r="N70" s="43" t="s">
        <v>1030</v>
      </c>
      <c r="O70" s="36" t="s">
        <v>329</v>
      </c>
      <c r="P70" s="36"/>
      <c r="Q70" s="36" t="s">
        <v>134</v>
      </c>
      <c r="R70" s="36" t="s">
        <v>5</v>
      </c>
      <c r="S70" s="37" t="s">
        <v>330</v>
      </c>
      <c r="T70" s="42">
        <v>1623480.61</v>
      </c>
      <c r="U70" s="39">
        <v>1623480.61</v>
      </c>
      <c r="V70" s="47">
        <v>1623480.61</v>
      </c>
      <c r="W70" s="28" t="s">
        <v>337</v>
      </c>
      <c r="X70" s="29" t="s">
        <v>287</v>
      </c>
      <c r="Y70" s="75" t="s">
        <v>1031</v>
      </c>
      <c r="Z70" s="75" t="s">
        <v>1035</v>
      </c>
      <c r="AA70" s="77">
        <v>1</v>
      </c>
      <c r="AB70" s="77">
        <v>1</v>
      </c>
      <c r="AC70" s="77">
        <v>2</v>
      </c>
    </row>
    <row r="71" spans="1:29" x14ac:dyDescent="0.2">
      <c r="A71" s="36" t="s">
        <v>338</v>
      </c>
      <c r="B71" s="36" t="s">
        <v>30</v>
      </c>
      <c r="C71" s="36" t="s">
        <v>1029</v>
      </c>
      <c r="D71" s="36"/>
      <c r="E71" s="36"/>
      <c r="F71" s="36" t="s">
        <v>31</v>
      </c>
      <c r="G71" s="36" t="s">
        <v>339</v>
      </c>
      <c r="H71" s="36" t="s">
        <v>340</v>
      </c>
      <c r="I71" s="36" t="s">
        <v>55</v>
      </c>
      <c r="J71" s="36" t="s">
        <v>56</v>
      </c>
      <c r="K71" s="36" t="s">
        <v>36</v>
      </c>
      <c r="L71" s="52" t="s">
        <v>37</v>
      </c>
      <c r="M71" s="36" t="s">
        <v>329</v>
      </c>
      <c r="N71" s="43" t="s">
        <v>1030</v>
      </c>
      <c r="O71" s="36" t="s">
        <v>329</v>
      </c>
      <c r="P71" s="36"/>
      <c r="Q71" s="36" t="s">
        <v>134</v>
      </c>
      <c r="R71" s="36" t="s">
        <v>5</v>
      </c>
      <c r="S71" s="37" t="s">
        <v>330</v>
      </c>
      <c r="T71" s="42">
        <v>938611</v>
      </c>
      <c r="U71" s="39">
        <v>938611</v>
      </c>
      <c r="V71" s="47">
        <v>938611</v>
      </c>
      <c r="W71" s="28" t="s">
        <v>341</v>
      </c>
      <c r="X71" s="29" t="s">
        <v>287</v>
      </c>
      <c r="Y71" s="75" t="s">
        <v>1031</v>
      </c>
      <c r="Z71" s="75" t="s">
        <v>1035</v>
      </c>
      <c r="AA71" s="77">
        <v>1</v>
      </c>
      <c r="AB71" s="77">
        <v>1</v>
      </c>
      <c r="AC71" s="77">
        <v>2</v>
      </c>
    </row>
    <row r="72" spans="1:29" x14ac:dyDescent="0.2">
      <c r="A72" s="36" t="s">
        <v>342</v>
      </c>
      <c r="B72" s="36" t="s">
        <v>30</v>
      </c>
      <c r="C72" s="36" t="s">
        <v>1029</v>
      </c>
      <c r="D72" s="36"/>
      <c r="E72" s="36"/>
      <c r="F72" s="36" t="s">
        <v>31</v>
      </c>
      <c r="G72" s="36" t="s">
        <v>343</v>
      </c>
      <c r="H72" s="36" t="s">
        <v>344</v>
      </c>
      <c r="I72" s="36" t="s">
        <v>46</v>
      </c>
      <c r="J72" s="36" t="s">
        <v>35</v>
      </c>
      <c r="K72" s="36" t="s">
        <v>36</v>
      </c>
      <c r="L72" s="52" t="s">
        <v>37</v>
      </c>
      <c r="M72" s="36" t="s">
        <v>329</v>
      </c>
      <c r="N72" s="43" t="s">
        <v>1030</v>
      </c>
      <c r="O72" s="36" t="s">
        <v>329</v>
      </c>
      <c r="P72" s="36"/>
      <c r="Q72" s="36" t="s">
        <v>134</v>
      </c>
      <c r="R72" s="36" t="s">
        <v>5</v>
      </c>
      <c r="S72" s="37" t="s">
        <v>330</v>
      </c>
      <c r="T72" s="42">
        <v>1833266.18</v>
      </c>
      <c r="U72" s="39">
        <v>1833266.18</v>
      </c>
      <c r="V72" s="47">
        <v>1833266.18</v>
      </c>
      <c r="W72" s="28" t="s">
        <v>345</v>
      </c>
      <c r="X72" s="29" t="s">
        <v>287</v>
      </c>
      <c r="Y72" s="75" t="s">
        <v>1031</v>
      </c>
      <c r="Z72" s="75" t="s">
        <v>1035</v>
      </c>
      <c r="AA72" s="77">
        <v>1</v>
      </c>
      <c r="AB72" s="77">
        <v>1</v>
      </c>
      <c r="AC72" s="77">
        <v>2</v>
      </c>
    </row>
    <row r="73" spans="1:29" x14ac:dyDescent="0.2">
      <c r="A73" s="36" t="s">
        <v>346</v>
      </c>
      <c r="B73" s="36" t="s">
        <v>30</v>
      </c>
      <c r="C73" s="36" t="s">
        <v>1029</v>
      </c>
      <c r="D73" s="36"/>
      <c r="E73" s="36"/>
      <c r="F73" s="36" t="s">
        <v>31</v>
      </c>
      <c r="G73" s="36" t="s">
        <v>347</v>
      </c>
      <c r="H73" s="36" t="s">
        <v>348</v>
      </c>
      <c r="I73" s="36" t="s">
        <v>55</v>
      </c>
      <c r="J73" s="36" t="s">
        <v>56</v>
      </c>
      <c r="K73" s="36" t="s">
        <v>36</v>
      </c>
      <c r="L73" s="52" t="s">
        <v>37</v>
      </c>
      <c r="M73" s="36" t="s">
        <v>329</v>
      </c>
      <c r="N73" s="43" t="s">
        <v>1030</v>
      </c>
      <c r="O73" s="36" t="s">
        <v>329</v>
      </c>
      <c r="P73" s="36"/>
      <c r="Q73" s="36" t="s">
        <v>134</v>
      </c>
      <c r="R73" s="36" t="s">
        <v>5</v>
      </c>
      <c r="S73" s="37" t="s">
        <v>330</v>
      </c>
      <c r="T73" s="42">
        <v>1993812</v>
      </c>
      <c r="U73" s="39">
        <v>1993812</v>
      </c>
      <c r="V73" s="47">
        <v>1993812</v>
      </c>
      <c r="W73" s="28" t="s">
        <v>349</v>
      </c>
      <c r="X73" s="29" t="s">
        <v>287</v>
      </c>
      <c r="Y73" s="75" t="s">
        <v>1031</v>
      </c>
      <c r="Z73" s="75" t="s">
        <v>1035</v>
      </c>
      <c r="AA73" s="77">
        <v>1</v>
      </c>
      <c r="AB73" s="77">
        <v>1</v>
      </c>
      <c r="AC73" s="77">
        <v>2</v>
      </c>
    </row>
    <row r="74" spans="1:29" x14ac:dyDescent="0.2">
      <c r="A74" s="36" t="s">
        <v>350</v>
      </c>
      <c r="B74" s="36" t="s">
        <v>30</v>
      </c>
      <c r="C74" s="36" t="s">
        <v>1029</v>
      </c>
      <c r="D74" s="36"/>
      <c r="E74" s="36"/>
      <c r="F74" s="36" t="s">
        <v>31</v>
      </c>
      <c r="G74" s="36" t="s">
        <v>351</v>
      </c>
      <c r="H74" s="36" t="s">
        <v>352</v>
      </c>
      <c r="I74" s="36" t="s">
        <v>46</v>
      </c>
      <c r="J74" s="36" t="s">
        <v>35</v>
      </c>
      <c r="K74" s="36" t="s">
        <v>36</v>
      </c>
      <c r="L74" s="52" t="s">
        <v>37</v>
      </c>
      <c r="M74" s="36" t="s">
        <v>329</v>
      </c>
      <c r="N74" s="43" t="s">
        <v>1030</v>
      </c>
      <c r="O74" s="36" t="s">
        <v>329</v>
      </c>
      <c r="P74" s="36"/>
      <c r="Q74" s="36" t="s">
        <v>134</v>
      </c>
      <c r="R74" s="36" t="s">
        <v>7</v>
      </c>
      <c r="S74" s="37" t="s">
        <v>330</v>
      </c>
      <c r="T74" s="42">
        <v>1388536.51</v>
      </c>
      <c r="U74" s="39">
        <v>1388536.51</v>
      </c>
      <c r="V74" s="47">
        <v>1388536.51</v>
      </c>
      <c r="W74" s="28" t="s">
        <v>353</v>
      </c>
      <c r="X74" s="29" t="s">
        <v>287</v>
      </c>
      <c r="Y74" s="75" t="s">
        <v>1031</v>
      </c>
      <c r="Z74" s="75" t="s">
        <v>1035</v>
      </c>
      <c r="AA74" s="77">
        <v>1</v>
      </c>
      <c r="AB74" s="77">
        <v>1</v>
      </c>
      <c r="AC74" s="77">
        <v>2</v>
      </c>
    </row>
    <row r="75" spans="1:29" x14ac:dyDescent="0.2">
      <c r="A75" s="36" t="s">
        <v>354</v>
      </c>
      <c r="B75" s="36" t="s">
        <v>30</v>
      </c>
      <c r="C75" s="36" t="s">
        <v>1029</v>
      </c>
      <c r="D75" s="36"/>
      <c r="E75" s="36"/>
      <c r="F75" s="36" t="s">
        <v>31</v>
      </c>
      <c r="G75" s="36" t="s">
        <v>355</v>
      </c>
      <c r="H75" s="36" t="s">
        <v>224</v>
      </c>
      <c r="I75" s="36" t="s">
        <v>55</v>
      </c>
      <c r="J75" s="36" t="s">
        <v>56</v>
      </c>
      <c r="K75" s="36" t="s">
        <v>36</v>
      </c>
      <c r="L75" s="52" t="s">
        <v>37</v>
      </c>
      <c r="M75" s="36" t="s">
        <v>329</v>
      </c>
      <c r="N75" s="43" t="s">
        <v>1030</v>
      </c>
      <c r="O75" s="36" t="s">
        <v>329</v>
      </c>
      <c r="P75" s="36"/>
      <c r="Q75" s="36" t="s">
        <v>134</v>
      </c>
      <c r="R75" s="36" t="s">
        <v>5</v>
      </c>
      <c r="S75" s="37" t="s">
        <v>330</v>
      </c>
      <c r="T75" s="42">
        <v>2039907</v>
      </c>
      <c r="U75" s="39">
        <v>2039907</v>
      </c>
      <c r="V75" s="47">
        <v>2039907</v>
      </c>
      <c r="W75" s="28" t="s">
        <v>356</v>
      </c>
      <c r="X75" s="29" t="s">
        <v>287</v>
      </c>
      <c r="Y75" s="75" t="s">
        <v>1031</v>
      </c>
      <c r="Z75" s="75" t="s">
        <v>1035</v>
      </c>
      <c r="AA75" s="77">
        <v>1</v>
      </c>
      <c r="AB75" s="77">
        <v>1</v>
      </c>
      <c r="AC75" s="77">
        <v>2</v>
      </c>
    </row>
    <row r="76" spans="1:29" x14ac:dyDescent="0.2">
      <c r="A76" s="36" t="s">
        <v>357</v>
      </c>
      <c r="B76" s="36" t="s">
        <v>30</v>
      </c>
      <c r="C76" s="36" t="s">
        <v>1029</v>
      </c>
      <c r="D76" s="36"/>
      <c r="E76" s="36"/>
      <c r="F76" s="36" t="s">
        <v>31</v>
      </c>
      <c r="G76" s="36" t="s">
        <v>358</v>
      </c>
      <c r="H76" s="36" t="s">
        <v>359</v>
      </c>
      <c r="I76" s="36" t="s">
        <v>360</v>
      </c>
      <c r="J76" s="36" t="s">
        <v>35</v>
      </c>
      <c r="K76" s="36" t="s">
        <v>36</v>
      </c>
      <c r="L76" s="52" t="s">
        <v>37</v>
      </c>
      <c r="M76" s="36" t="s">
        <v>329</v>
      </c>
      <c r="N76" s="43" t="s">
        <v>1030</v>
      </c>
      <c r="O76" s="36" t="s">
        <v>329</v>
      </c>
      <c r="P76" s="36"/>
      <c r="Q76" s="36" t="s">
        <v>134</v>
      </c>
      <c r="R76" s="36" t="s">
        <v>5</v>
      </c>
      <c r="S76" s="37" t="s">
        <v>330</v>
      </c>
      <c r="T76" s="42">
        <v>1491605.61</v>
      </c>
      <c r="U76" s="39">
        <v>1491605.61</v>
      </c>
      <c r="V76" s="47">
        <v>1491605.61</v>
      </c>
      <c r="W76" s="28" t="s">
        <v>361</v>
      </c>
      <c r="X76" s="29" t="s">
        <v>287</v>
      </c>
      <c r="Y76" s="75" t="s">
        <v>1031</v>
      </c>
      <c r="Z76" s="75" t="s">
        <v>1035</v>
      </c>
      <c r="AA76" s="77">
        <v>1</v>
      </c>
      <c r="AB76" s="77">
        <v>1</v>
      </c>
      <c r="AC76" s="77">
        <v>2</v>
      </c>
    </row>
    <row r="77" spans="1:29" x14ac:dyDescent="0.2">
      <c r="A77" s="36" t="s">
        <v>362</v>
      </c>
      <c r="B77" s="36" t="s">
        <v>30</v>
      </c>
      <c r="C77" s="36" t="s">
        <v>1029</v>
      </c>
      <c r="D77" s="36"/>
      <c r="E77" s="36"/>
      <c r="F77" s="36" t="s">
        <v>31</v>
      </c>
      <c r="G77" s="36" t="s">
        <v>363</v>
      </c>
      <c r="H77" s="36" t="s">
        <v>364</v>
      </c>
      <c r="I77" s="36" t="s">
        <v>46</v>
      </c>
      <c r="J77" s="36" t="s">
        <v>35</v>
      </c>
      <c r="K77" s="36" t="s">
        <v>36</v>
      </c>
      <c r="L77" s="52" t="s">
        <v>37</v>
      </c>
      <c r="M77" s="36" t="s">
        <v>329</v>
      </c>
      <c r="N77" s="43" t="s">
        <v>1030</v>
      </c>
      <c r="O77" s="36" t="s">
        <v>329</v>
      </c>
      <c r="P77" s="36"/>
      <c r="Q77" s="36" t="s">
        <v>134</v>
      </c>
      <c r="R77" s="36" t="s">
        <v>5</v>
      </c>
      <c r="S77" s="37" t="s">
        <v>330</v>
      </c>
      <c r="T77" s="42">
        <v>1831633.5</v>
      </c>
      <c r="U77" s="39">
        <v>1831633.5</v>
      </c>
      <c r="V77" s="47">
        <v>1831633.5</v>
      </c>
      <c r="W77" s="28" t="s">
        <v>365</v>
      </c>
      <c r="X77" s="29" t="s">
        <v>287</v>
      </c>
      <c r="Y77" s="75" t="s">
        <v>1031</v>
      </c>
      <c r="Z77" s="75" t="s">
        <v>1035</v>
      </c>
      <c r="AA77" s="77">
        <v>1</v>
      </c>
      <c r="AB77" s="77">
        <v>1</v>
      </c>
      <c r="AC77" s="77">
        <v>2</v>
      </c>
    </row>
    <row r="78" spans="1:29" x14ac:dyDescent="0.2">
      <c r="A78" s="36" t="s">
        <v>366</v>
      </c>
      <c r="B78" s="36" t="s">
        <v>30</v>
      </c>
      <c r="C78" s="36" t="s">
        <v>1029</v>
      </c>
      <c r="D78" s="36"/>
      <c r="E78" s="36"/>
      <c r="F78" s="36" t="s">
        <v>31</v>
      </c>
      <c r="G78" s="36" t="s">
        <v>367</v>
      </c>
      <c r="H78" s="36" t="s">
        <v>54</v>
      </c>
      <c r="I78" s="36" t="s">
        <v>55</v>
      </c>
      <c r="J78" s="36" t="s">
        <v>56</v>
      </c>
      <c r="K78" s="36" t="s">
        <v>36</v>
      </c>
      <c r="L78" s="52" t="s">
        <v>37</v>
      </c>
      <c r="M78" s="36" t="s">
        <v>262</v>
      </c>
      <c r="N78" s="36" t="s">
        <v>1032</v>
      </c>
      <c r="O78" s="36"/>
      <c r="P78" s="36"/>
      <c r="Q78" s="36" t="s">
        <v>134</v>
      </c>
      <c r="R78" s="36" t="s">
        <v>5</v>
      </c>
      <c r="S78" s="37" t="s">
        <v>368</v>
      </c>
      <c r="T78" s="42">
        <v>3568090</v>
      </c>
      <c r="U78" s="39">
        <v>3568090</v>
      </c>
      <c r="V78" s="47">
        <v>3568090</v>
      </c>
      <c r="W78" s="28" t="s">
        <v>369</v>
      </c>
      <c r="X78" s="29" t="s">
        <v>287</v>
      </c>
      <c r="AA78" s="77">
        <v>1</v>
      </c>
      <c r="AB78" s="77">
        <v>1</v>
      </c>
      <c r="AC78" s="77">
        <v>2</v>
      </c>
    </row>
    <row r="79" spans="1:29" x14ac:dyDescent="0.2">
      <c r="A79" s="36" t="s">
        <v>370</v>
      </c>
      <c r="B79" s="36" t="s">
        <v>30</v>
      </c>
      <c r="C79" s="36" t="s">
        <v>1029</v>
      </c>
      <c r="D79" s="36"/>
      <c r="E79" s="36"/>
      <c r="F79" s="36" t="s">
        <v>31</v>
      </c>
      <c r="G79" s="36" t="s">
        <v>371</v>
      </c>
      <c r="H79" s="36" t="s">
        <v>372</v>
      </c>
      <c r="I79" s="36" t="s">
        <v>68</v>
      </c>
      <c r="J79" s="36" t="s">
        <v>35</v>
      </c>
      <c r="K79" s="36" t="s">
        <v>36</v>
      </c>
      <c r="L79" s="52" t="s">
        <v>95</v>
      </c>
      <c r="M79" s="43" t="s">
        <v>373</v>
      </c>
      <c r="N79" s="43" t="s">
        <v>1030</v>
      </c>
      <c r="O79" s="43" t="s">
        <v>373</v>
      </c>
      <c r="P79" s="43"/>
      <c r="Q79" s="36" t="s">
        <v>134</v>
      </c>
      <c r="R79" s="36" t="s">
        <v>5</v>
      </c>
      <c r="S79" s="37" t="s">
        <v>374</v>
      </c>
      <c r="T79" s="42">
        <v>1914745.15</v>
      </c>
      <c r="U79" s="39">
        <v>1914745.15</v>
      </c>
      <c r="V79" s="47">
        <v>1914745.15</v>
      </c>
      <c r="W79" s="28" t="s">
        <v>375</v>
      </c>
      <c r="X79" s="29" t="s">
        <v>287</v>
      </c>
      <c r="Y79" s="75" t="s">
        <v>1031</v>
      </c>
      <c r="Z79" s="75" t="s">
        <v>1034</v>
      </c>
      <c r="AA79">
        <v>1</v>
      </c>
      <c r="AB79">
        <v>1</v>
      </c>
      <c r="AC79">
        <v>3</v>
      </c>
    </row>
    <row r="80" spans="1:29" x14ac:dyDescent="0.2">
      <c r="A80" s="36" t="s">
        <v>376</v>
      </c>
      <c r="B80" s="36" t="s">
        <v>30</v>
      </c>
      <c r="C80" s="36" t="s">
        <v>1029</v>
      </c>
      <c r="D80" s="36"/>
      <c r="E80" s="36"/>
      <c r="F80" s="36" t="s">
        <v>31</v>
      </c>
      <c r="G80" s="36" t="s">
        <v>377</v>
      </c>
      <c r="H80" s="36" t="s">
        <v>54</v>
      </c>
      <c r="I80" s="36" t="s">
        <v>55</v>
      </c>
      <c r="J80" s="36" t="s">
        <v>56</v>
      </c>
      <c r="K80" s="36" t="s">
        <v>36</v>
      </c>
      <c r="L80" s="52" t="s">
        <v>95</v>
      </c>
      <c r="M80" s="43" t="s">
        <v>373</v>
      </c>
      <c r="N80" s="43" t="s">
        <v>1030</v>
      </c>
      <c r="O80" s="43" t="s">
        <v>373</v>
      </c>
      <c r="P80" s="43"/>
      <c r="Q80" s="36" t="s">
        <v>134</v>
      </c>
      <c r="R80" s="36" t="s">
        <v>5</v>
      </c>
      <c r="S80" s="37" t="s">
        <v>374</v>
      </c>
      <c r="T80" s="42">
        <v>2049397</v>
      </c>
      <c r="U80" s="39">
        <v>2049397</v>
      </c>
      <c r="V80" s="47">
        <v>2049397</v>
      </c>
      <c r="W80" s="28" t="s">
        <v>378</v>
      </c>
      <c r="X80" s="29" t="s">
        <v>287</v>
      </c>
      <c r="Y80" s="75" t="s">
        <v>1031</v>
      </c>
      <c r="Z80" s="75" t="s">
        <v>1034</v>
      </c>
      <c r="AA80">
        <v>1</v>
      </c>
      <c r="AB80">
        <v>1</v>
      </c>
      <c r="AC80">
        <v>3</v>
      </c>
    </row>
    <row r="81" spans="1:29" x14ac:dyDescent="0.2">
      <c r="A81" s="36" t="s">
        <v>379</v>
      </c>
      <c r="B81" s="36" t="s">
        <v>30</v>
      </c>
      <c r="C81" s="36" t="s">
        <v>1029</v>
      </c>
      <c r="D81" s="36"/>
      <c r="E81" s="36"/>
      <c r="F81" s="36" t="s">
        <v>31</v>
      </c>
      <c r="G81" s="36" t="s">
        <v>380</v>
      </c>
      <c r="H81" s="36" t="s">
        <v>381</v>
      </c>
      <c r="I81" s="36" t="s">
        <v>55</v>
      </c>
      <c r="J81" s="36" t="s">
        <v>56</v>
      </c>
      <c r="K81" s="36" t="s">
        <v>36</v>
      </c>
      <c r="L81" s="52" t="s">
        <v>95</v>
      </c>
      <c r="M81" s="44" t="s">
        <v>373</v>
      </c>
      <c r="N81" s="43" t="s">
        <v>1030</v>
      </c>
      <c r="O81" s="44" t="s">
        <v>373</v>
      </c>
      <c r="P81" s="44"/>
      <c r="Q81" s="36" t="s">
        <v>134</v>
      </c>
      <c r="R81" s="36" t="s">
        <v>5</v>
      </c>
      <c r="S81" s="37" t="s">
        <v>374</v>
      </c>
      <c r="T81" s="42">
        <v>2056943</v>
      </c>
      <c r="U81" s="39">
        <v>2056943</v>
      </c>
      <c r="V81" s="47">
        <v>2056943</v>
      </c>
      <c r="W81" s="28" t="s">
        <v>382</v>
      </c>
      <c r="X81" s="29" t="s">
        <v>287</v>
      </c>
      <c r="Y81" s="75" t="s">
        <v>1031</v>
      </c>
      <c r="Z81" s="75" t="s">
        <v>1034</v>
      </c>
      <c r="AA81">
        <v>1</v>
      </c>
      <c r="AB81">
        <v>1</v>
      </c>
      <c r="AC81">
        <v>3</v>
      </c>
    </row>
    <row r="82" spans="1:29" x14ac:dyDescent="0.2">
      <c r="A82" s="36" t="s">
        <v>383</v>
      </c>
      <c r="B82" s="36" t="s">
        <v>30</v>
      </c>
      <c r="C82" s="36" t="s">
        <v>1029</v>
      </c>
      <c r="D82" s="36"/>
      <c r="E82" s="36"/>
      <c r="F82" s="36" t="s">
        <v>31</v>
      </c>
      <c r="G82" s="36" t="s">
        <v>384</v>
      </c>
      <c r="H82" s="36" t="s">
        <v>91</v>
      </c>
      <c r="I82" s="36" t="s">
        <v>55</v>
      </c>
      <c r="J82" s="36" t="s">
        <v>56</v>
      </c>
      <c r="K82" s="36" t="s">
        <v>36</v>
      </c>
      <c r="L82" s="52" t="s">
        <v>95</v>
      </c>
      <c r="M82" s="43" t="s">
        <v>373</v>
      </c>
      <c r="N82" s="43" t="s">
        <v>1030</v>
      </c>
      <c r="O82" s="43" t="s">
        <v>373</v>
      </c>
      <c r="P82" s="43"/>
      <c r="Q82" s="36" t="s">
        <v>134</v>
      </c>
      <c r="R82" s="36" t="s">
        <v>5</v>
      </c>
      <c r="S82" s="37" t="s">
        <v>374</v>
      </c>
      <c r="T82" s="42">
        <v>815737</v>
      </c>
      <c r="U82" s="39">
        <v>815737</v>
      </c>
      <c r="V82" s="47">
        <v>815737</v>
      </c>
      <c r="W82" s="28" t="s">
        <v>385</v>
      </c>
      <c r="X82" s="29" t="s">
        <v>287</v>
      </c>
      <c r="Y82" s="75" t="s">
        <v>1031</v>
      </c>
      <c r="Z82" s="75" t="s">
        <v>1034</v>
      </c>
      <c r="AA82">
        <v>1</v>
      </c>
      <c r="AB82">
        <v>1</v>
      </c>
      <c r="AC82">
        <v>3</v>
      </c>
    </row>
    <row r="83" spans="1:29" x14ac:dyDescent="0.2">
      <c r="A83" s="36" t="s">
        <v>386</v>
      </c>
      <c r="B83" s="36" t="s">
        <v>30</v>
      </c>
      <c r="C83" s="36" t="s">
        <v>1029</v>
      </c>
      <c r="D83" s="36"/>
      <c r="E83" s="36"/>
      <c r="F83" s="36" t="s">
        <v>31</v>
      </c>
      <c r="G83" s="36" t="s">
        <v>387</v>
      </c>
      <c r="H83" s="36" t="s">
        <v>388</v>
      </c>
      <c r="I83" s="36" t="s">
        <v>68</v>
      </c>
      <c r="J83" s="36" t="s">
        <v>35</v>
      </c>
      <c r="K83" s="36" t="s">
        <v>36</v>
      </c>
      <c r="L83" s="52" t="s">
        <v>95</v>
      </c>
      <c r="M83" s="44" t="s">
        <v>373</v>
      </c>
      <c r="N83" s="43" t="s">
        <v>1030</v>
      </c>
      <c r="O83" s="44" t="s">
        <v>373</v>
      </c>
      <c r="P83" s="44"/>
      <c r="Q83" s="36" t="s">
        <v>134</v>
      </c>
      <c r="R83" s="36" t="s">
        <v>5</v>
      </c>
      <c r="S83" s="37" t="s">
        <v>374</v>
      </c>
      <c r="T83" s="42">
        <v>2050809</v>
      </c>
      <c r="U83" s="39">
        <v>2050809</v>
      </c>
      <c r="V83" s="47">
        <v>2050809</v>
      </c>
      <c r="W83" s="28" t="s">
        <v>389</v>
      </c>
      <c r="X83" s="29" t="s">
        <v>287</v>
      </c>
      <c r="Y83" s="75" t="s">
        <v>1031</v>
      </c>
      <c r="Z83" s="75" t="s">
        <v>1034</v>
      </c>
      <c r="AA83">
        <v>1</v>
      </c>
      <c r="AB83">
        <v>1</v>
      </c>
      <c r="AC83">
        <v>3</v>
      </c>
    </row>
    <row r="84" spans="1:29" x14ac:dyDescent="0.2">
      <c r="A84" s="36" t="s">
        <v>390</v>
      </c>
      <c r="B84" s="36" t="s">
        <v>30</v>
      </c>
      <c r="C84" s="36" t="s">
        <v>1029</v>
      </c>
      <c r="D84" s="36"/>
      <c r="E84" s="36"/>
      <c r="F84" s="36" t="s">
        <v>31</v>
      </c>
      <c r="G84" s="36" t="s">
        <v>391</v>
      </c>
      <c r="H84" s="36" t="s">
        <v>311</v>
      </c>
      <c r="I84" s="36" t="s">
        <v>312</v>
      </c>
      <c r="J84" s="36" t="s">
        <v>133</v>
      </c>
      <c r="K84" s="36" t="s">
        <v>36</v>
      </c>
      <c r="L84" s="52" t="s">
        <v>95</v>
      </c>
      <c r="M84" s="43" t="s">
        <v>373</v>
      </c>
      <c r="N84" s="43" t="s">
        <v>1030</v>
      </c>
      <c r="O84" s="43" t="s">
        <v>373</v>
      </c>
      <c r="P84" s="43"/>
      <c r="Q84" s="36" t="s">
        <v>134</v>
      </c>
      <c r="R84" s="36" t="s">
        <v>5</v>
      </c>
      <c r="S84" s="37" t="s">
        <v>374</v>
      </c>
      <c r="T84" s="42">
        <v>1946070</v>
      </c>
      <c r="U84" s="39">
        <v>1946070</v>
      </c>
      <c r="V84" s="47">
        <v>1946070</v>
      </c>
      <c r="W84" s="28" t="s">
        <v>392</v>
      </c>
      <c r="X84" s="29" t="s">
        <v>287</v>
      </c>
      <c r="Y84" s="75" t="s">
        <v>1031</v>
      </c>
      <c r="Z84" s="75" t="s">
        <v>1034</v>
      </c>
      <c r="AA84">
        <v>1</v>
      </c>
      <c r="AB84">
        <v>1</v>
      </c>
      <c r="AC84">
        <v>3</v>
      </c>
    </row>
    <row r="85" spans="1:29" x14ac:dyDescent="0.2">
      <c r="A85" s="36" t="s">
        <v>393</v>
      </c>
      <c r="B85" s="36" t="s">
        <v>30</v>
      </c>
      <c r="C85" s="36" t="s">
        <v>1029</v>
      </c>
      <c r="D85" s="36"/>
      <c r="E85" s="36"/>
      <c r="F85" s="36" t="s">
        <v>31</v>
      </c>
      <c r="G85" s="36" t="s">
        <v>394</v>
      </c>
      <c r="H85" s="36" t="s">
        <v>395</v>
      </c>
      <c r="I85" s="36" t="s">
        <v>232</v>
      </c>
      <c r="J85" s="36" t="s">
        <v>133</v>
      </c>
      <c r="K85" s="36" t="s">
        <v>36</v>
      </c>
      <c r="L85" s="52" t="s">
        <v>95</v>
      </c>
      <c r="M85" s="43" t="s">
        <v>373</v>
      </c>
      <c r="N85" s="43" t="s">
        <v>1030</v>
      </c>
      <c r="O85" s="43" t="s">
        <v>373</v>
      </c>
      <c r="P85" s="43"/>
      <c r="Q85" s="36" t="s">
        <v>134</v>
      </c>
      <c r="R85" s="36" t="s">
        <v>5</v>
      </c>
      <c r="S85" s="37" t="s">
        <v>374</v>
      </c>
      <c r="T85" s="42">
        <v>1833066.53</v>
      </c>
      <c r="U85" s="39">
        <v>1483813.4</v>
      </c>
      <c r="V85" s="47">
        <v>1483813.4</v>
      </c>
      <c r="W85" s="28" t="s">
        <v>396</v>
      </c>
      <c r="X85" s="29" t="s">
        <v>287</v>
      </c>
      <c r="Y85" s="75" t="s">
        <v>1031</v>
      </c>
      <c r="Z85" s="75" t="s">
        <v>1034</v>
      </c>
      <c r="AA85">
        <v>1</v>
      </c>
      <c r="AB85">
        <v>1</v>
      </c>
      <c r="AC85">
        <v>3</v>
      </c>
    </row>
    <row r="86" spans="1:29" x14ac:dyDescent="0.2">
      <c r="A86" s="36" t="s">
        <v>397</v>
      </c>
      <c r="B86" s="36" t="s">
        <v>30</v>
      </c>
      <c r="C86" s="36" t="s">
        <v>1029</v>
      </c>
      <c r="D86" s="36"/>
      <c r="E86" s="36"/>
      <c r="F86" s="36" t="s">
        <v>31</v>
      </c>
      <c r="G86" s="36" t="s">
        <v>394</v>
      </c>
      <c r="H86" s="36" t="s">
        <v>78</v>
      </c>
      <c r="I86" s="36" t="s">
        <v>55</v>
      </c>
      <c r="J86" s="36" t="s">
        <v>56</v>
      </c>
      <c r="K86" s="36" t="s">
        <v>36</v>
      </c>
      <c r="L86" s="52" t="s">
        <v>95</v>
      </c>
      <c r="M86" s="43" t="s">
        <v>373</v>
      </c>
      <c r="N86" s="43" t="s">
        <v>1030</v>
      </c>
      <c r="O86" s="43" t="s">
        <v>373</v>
      </c>
      <c r="P86" s="43"/>
      <c r="Q86" s="36" t="s">
        <v>134</v>
      </c>
      <c r="R86" s="36" t="s">
        <v>5</v>
      </c>
      <c r="S86" s="37" t="s">
        <v>374</v>
      </c>
      <c r="T86" s="42">
        <v>319301</v>
      </c>
      <c r="U86" s="39">
        <v>319301</v>
      </c>
      <c r="V86" s="47">
        <v>319301</v>
      </c>
      <c r="W86" s="30" t="s">
        <v>398</v>
      </c>
      <c r="X86" s="29" t="s">
        <v>287</v>
      </c>
      <c r="Y86" s="75" t="s">
        <v>1031</v>
      </c>
      <c r="Z86" s="75" t="s">
        <v>1034</v>
      </c>
      <c r="AA86">
        <v>1</v>
      </c>
      <c r="AB86">
        <v>1</v>
      </c>
      <c r="AC86">
        <v>3</v>
      </c>
    </row>
    <row r="87" spans="1:29" x14ac:dyDescent="0.2">
      <c r="A87" s="36" t="s">
        <v>399</v>
      </c>
      <c r="B87" s="36" t="s">
        <v>30</v>
      </c>
      <c r="C87" s="36" t="s">
        <v>1029</v>
      </c>
      <c r="D87" s="36"/>
      <c r="E87" s="36"/>
      <c r="F87" s="36" t="s">
        <v>31</v>
      </c>
      <c r="G87" s="36" t="s">
        <v>400</v>
      </c>
      <c r="H87" s="36" t="s">
        <v>401</v>
      </c>
      <c r="I87" s="36" t="s">
        <v>55</v>
      </c>
      <c r="J87" s="36" t="s">
        <v>56</v>
      </c>
      <c r="K87" s="36" t="s">
        <v>36</v>
      </c>
      <c r="L87" s="52" t="s">
        <v>95</v>
      </c>
      <c r="M87" s="43" t="s">
        <v>373</v>
      </c>
      <c r="N87" s="43" t="s">
        <v>1030</v>
      </c>
      <c r="O87" s="43" t="s">
        <v>373</v>
      </c>
      <c r="P87" s="43"/>
      <c r="Q87" s="36" t="s">
        <v>134</v>
      </c>
      <c r="R87" s="36" t="s">
        <v>5</v>
      </c>
      <c r="S87" s="37" t="s">
        <v>374</v>
      </c>
      <c r="T87" s="42">
        <v>1970587.29</v>
      </c>
      <c r="U87" s="39">
        <v>1970587.29</v>
      </c>
      <c r="V87" s="47">
        <v>1970587.29</v>
      </c>
      <c r="W87" s="28" t="s">
        <v>402</v>
      </c>
      <c r="X87" s="29" t="s">
        <v>287</v>
      </c>
      <c r="Y87" s="75" t="s">
        <v>1031</v>
      </c>
      <c r="Z87" s="75" t="s">
        <v>1034</v>
      </c>
      <c r="AA87">
        <v>1</v>
      </c>
      <c r="AB87">
        <v>1</v>
      </c>
      <c r="AC87">
        <v>3</v>
      </c>
    </row>
    <row r="88" spans="1:29" x14ac:dyDescent="0.2">
      <c r="A88" s="36" t="s">
        <v>403</v>
      </c>
      <c r="B88" s="36" t="s">
        <v>30</v>
      </c>
      <c r="C88" s="36" t="s">
        <v>1029</v>
      </c>
      <c r="D88" s="36"/>
      <c r="E88" s="36"/>
      <c r="F88" s="36" t="s">
        <v>31</v>
      </c>
      <c r="G88" s="36" t="s">
        <v>404</v>
      </c>
      <c r="H88" s="36" t="s">
        <v>320</v>
      </c>
      <c r="I88" s="36" t="s">
        <v>132</v>
      </c>
      <c r="J88" s="36" t="s">
        <v>133</v>
      </c>
      <c r="K88" s="36" t="s">
        <v>36</v>
      </c>
      <c r="L88" s="52" t="s">
        <v>95</v>
      </c>
      <c r="M88" s="45" t="s">
        <v>373</v>
      </c>
      <c r="N88" s="43" t="s">
        <v>1030</v>
      </c>
      <c r="O88" s="45" t="s">
        <v>373</v>
      </c>
      <c r="P88" s="45"/>
      <c r="Q88" s="36" t="s">
        <v>134</v>
      </c>
      <c r="R88" s="36" t="s">
        <v>7</v>
      </c>
      <c r="S88" s="37" t="s">
        <v>374</v>
      </c>
      <c r="T88" s="42">
        <v>2060000</v>
      </c>
      <c r="U88" s="39">
        <v>2060000</v>
      </c>
      <c r="V88" s="47">
        <v>2060000</v>
      </c>
      <c r="W88" s="28" t="s">
        <v>405</v>
      </c>
      <c r="X88" s="29" t="s">
        <v>287</v>
      </c>
      <c r="Y88" s="75" t="s">
        <v>1031</v>
      </c>
      <c r="Z88" s="75" t="s">
        <v>1034</v>
      </c>
      <c r="AA88">
        <v>1</v>
      </c>
      <c r="AB88">
        <v>1</v>
      </c>
      <c r="AC88">
        <v>3</v>
      </c>
    </row>
    <row r="89" spans="1:29" x14ac:dyDescent="0.2">
      <c r="A89" s="36" t="s">
        <v>406</v>
      </c>
      <c r="B89" s="36" t="s">
        <v>30</v>
      </c>
      <c r="C89" s="36" t="s">
        <v>1029</v>
      </c>
      <c r="D89" s="36"/>
      <c r="E89" s="36"/>
      <c r="F89" s="36" t="s">
        <v>31</v>
      </c>
      <c r="G89" s="36" t="s">
        <v>407</v>
      </c>
      <c r="H89" s="36" t="s">
        <v>408</v>
      </c>
      <c r="I89" s="36" t="s">
        <v>132</v>
      </c>
      <c r="J89" s="36" t="s">
        <v>133</v>
      </c>
      <c r="K89" s="36" t="s">
        <v>36</v>
      </c>
      <c r="L89" s="52" t="s">
        <v>409</v>
      </c>
      <c r="M89" s="36" t="s">
        <v>410</v>
      </c>
      <c r="N89" s="36" t="s">
        <v>1030</v>
      </c>
      <c r="O89" s="36" t="s">
        <v>410</v>
      </c>
      <c r="P89" s="36"/>
      <c r="Q89" s="36" t="s">
        <v>134</v>
      </c>
      <c r="R89" s="36" t="s">
        <v>5</v>
      </c>
      <c r="S89" s="37" t="s">
        <v>411</v>
      </c>
      <c r="T89" s="42">
        <v>6369109.2400000002</v>
      </c>
      <c r="U89" s="39">
        <v>6369109.2400000002</v>
      </c>
      <c r="V89" s="47">
        <v>6369109.2400000002</v>
      </c>
      <c r="W89" s="28" t="s">
        <v>412</v>
      </c>
      <c r="X89" s="29" t="s">
        <v>287</v>
      </c>
      <c r="AA89" s="78">
        <v>1</v>
      </c>
      <c r="AB89" s="78">
        <v>1</v>
      </c>
      <c r="AC89" s="78">
        <v>1</v>
      </c>
    </row>
    <row r="90" spans="1:29" x14ac:dyDescent="0.2">
      <c r="A90" s="36" t="s">
        <v>413</v>
      </c>
      <c r="B90" s="36" t="s">
        <v>30</v>
      </c>
      <c r="C90" s="36" t="s">
        <v>1029</v>
      </c>
      <c r="D90" s="36"/>
      <c r="E90" s="36"/>
      <c r="F90" s="36" t="s">
        <v>31</v>
      </c>
      <c r="G90" s="36" t="s">
        <v>414</v>
      </c>
      <c r="H90" s="36" t="s">
        <v>78</v>
      </c>
      <c r="I90" s="36" t="s">
        <v>55</v>
      </c>
      <c r="J90" s="36" t="s">
        <v>56</v>
      </c>
      <c r="K90" s="36" t="s">
        <v>36</v>
      </c>
      <c r="L90" s="52" t="s">
        <v>47</v>
      </c>
      <c r="M90" s="36" t="s">
        <v>410</v>
      </c>
      <c r="N90" s="36" t="s">
        <v>1030</v>
      </c>
      <c r="O90" s="36" t="s">
        <v>410</v>
      </c>
      <c r="P90" s="36"/>
      <c r="Q90" s="36" t="s">
        <v>134</v>
      </c>
      <c r="R90" s="36" t="s">
        <v>5</v>
      </c>
      <c r="S90" s="37" t="s">
        <v>411</v>
      </c>
      <c r="T90" s="42">
        <v>6369460</v>
      </c>
      <c r="U90" s="39">
        <v>6369460</v>
      </c>
      <c r="V90" s="47">
        <v>6369460</v>
      </c>
      <c r="W90" s="28" t="s">
        <v>415</v>
      </c>
      <c r="X90" s="29" t="s">
        <v>287</v>
      </c>
      <c r="AA90">
        <v>4</v>
      </c>
      <c r="AB90">
        <v>1</v>
      </c>
      <c r="AC90">
        <v>4</v>
      </c>
    </row>
    <row r="91" spans="1:29" x14ac:dyDescent="0.2">
      <c r="A91" s="36" t="s">
        <v>416</v>
      </c>
      <c r="B91" s="36" t="s">
        <v>30</v>
      </c>
      <c r="C91" s="36" t="s">
        <v>1029</v>
      </c>
      <c r="D91" s="36"/>
      <c r="E91" s="36"/>
      <c r="F91" s="36" t="s">
        <v>31</v>
      </c>
      <c r="G91" s="36" t="s">
        <v>417</v>
      </c>
      <c r="H91" s="36" t="s">
        <v>45</v>
      </c>
      <c r="I91" s="36" t="s">
        <v>46</v>
      </c>
      <c r="J91" s="36" t="s">
        <v>35</v>
      </c>
      <c r="K91" s="36" t="s">
        <v>36</v>
      </c>
      <c r="L91" s="52" t="s">
        <v>101</v>
      </c>
      <c r="M91" s="36" t="s">
        <v>410</v>
      </c>
      <c r="N91" s="36" t="s">
        <v>1030</v>
      </c>
      <c r="O91" s="36" t="s">
        <v>410</v>
      </c>
      <c r="P91" s="36"/>
      <c r="Q91" s="36" t="s">
        <v>134</v>
      </c>
      <c r="R91" s="36" t="s">
        <v>5</v>
      </c>
      <c r="S91" s="37" t="s">
        <v>411</v>
      </c>
      <c r="T91" s="42">
        <v>6055978.7000000002</v>
      </c>
      <c r="U91" s="39">
        <v>6055978.7000000002</v>
      </c>
      <c r="V91" s="47">
        <v>6055978.7000000002</v>
      </c>
      <c r="W91" s="28" t="s">
        <v>418</v>
      </c>
      <c r="X91" s="29" t="s">
        <v>287</v>
      </c>
      <c r="AA91" s="78">
        <v>1</v>
      </c>
      <c r="AB91" s="78">
        <v>2</v>
      </c>
      <c r="AC91" s="78">
        <v>2</v>
      </c>
    </row>
    <row r="92" spans="1:29" x14ac:dyDescent="0.2">
      <c r="A92" s="36" t="s">
        <v>419</v>
      </c>
      <c r="B92" s="36" t="s">
        <v>30</v>
      </c>
      <c r="C92" s="36" t="s">
        <v>1029</v>
      </c>
      <c r="D92" s="36"/>
      <c r="E92" s="36"/>
      <c r="F92" s="36" t="s">
        <v>31</v>
      </c>
      <c r="G92" s="36" t="s">
        <v>420</v>
      </c>
      <c r="H92" s="36" t="s">
        <v>421</v>
      </c>
      <c r="I92" s="36" t="s">
        <v>55</v>
      </c>
      <c r="J92" s="36" t="s">
        <v>56</v>
      </c>
      <c r="K92" s="36" t="s">
        <v>36</v>
      </c>
      <c r="L92" s="52" t="s">
        <v>95</v>
      </c>
      <c r="M92" s="36" t="s">
        <v>422</v>
      </c>
      <c r="N92" s="36" t="s">
        <v>1030</v>
      </c>
      <c r="O92" s="36" t="s">
        <v>422</v>
      </c>
      <c r="P92" s="36"/>
      <c r="Q92" s="36" t="s">
        <v>134</v>
      </c>
      <c r="R92" s="36" t="s">
        <v>5</v>
      </c>
      <c r="S92" s="37" t="s">
        <v>423</v>
      </c>
      <c r="T92" s="42">
        <v>486704</v>
      </c>
      <c r="U92" s="39">
        <v>486704</v>
      </c>
      <c r="V92" s="47">
        <v>486704</v>
      </c>
      <c r="W92" s="28" t="s">
        <v>424</v>
      </c>
      <c r="X92" s="29" t="s">
        <v>287</v>
      </c>
      <c r="Y92" s="75"/>
      <c r="AA92">
        <v>1</v>
      </c>
      <c r="AB92">
        <v>1</v>
      </c>
      <c r="AC92">
        <v>1</v>
      </c>
    </row>
    <row r="93" spans="1:29" x14ac:dyDescent="0.2">
      <c r="A93" s="36" t="s">
        <v>425</v>
      </c>
      <c r="B93" s="36" t="s">
        <v>30</v>
      </c>
      <c r="C93" s="36" t="s">
        <v>1029</v>
      </c>
      <c r="D93" s="36"/>
      <c r="E93" s="36"/>
      <c r="F93" s="36" t="s">
        <v>31</v>
      </c>
      <c r="G93" s="36" t="s">
        <v>426</v>
      </c>
      <c r="H93" s="36" t="s">
        <v>427</v>
      </c>
      <c r="I93" s="36" t="s">
        <v>55</v>
      </c>
      <c r="J93" s="36" t="s">
        <v>56</v>
      </c>
      <c r="K93" s="36" t="s">
        <v>36</v>
      </c>
      <c r="L93" s="52" t="s">
        <v>95</v>
      </c>
      <c r="M93" s="36" t="s">
        <v>422</v>
      </c>
      <c r="N93" s="36" t="s">
        <v>1030</v>
      </c>
      <c r="O93" s="36" t="s">
        <v>422</v>
      </c>
      <c r="P93" s="36"/>
      <c r="Q93" s="36" t="s">
        <v>39</v>
      </c>
      <c r="R93" s="36" t="s">
        <v>5</v>
      </c>
      <c r="S93" s="37" t="s">
        <v>423</v>
      </c>
      <c r="T93" s="42">
        <v>1692430.9</v>
      </c>
      <c r="U93" s="39">
        <v>1692430.9</v>
      </c>
      <c r="V93" s="47">
        <v>1692430.9</v>
      </c>
      <c r="W93" s="28" t="s">
        <v>428</v>
      </c>
      <c r="X93" s="29" t="s">
        <v>287</v>
      </c>
      <c r="AA93">
        <v>1</v>
      </c>
      <c r="AB93">
        <v>1</v>
      </c>
      <c r="AC93">
        <v>1</v>
      </c>
    </row>
    <row r="94" spans="1:29" x14ac:dyDescent="0.2">
      <c r="A94" s="36" t="s">
        <v>429</v>
      </c>
      <c r="B94" s="36" t="s">
        <v>30</v>
      </c>
      <c r="C94" s="36" t="s">
        <v>1029</v>
      </c>
      <c r="D94" s="36"/>
      <c r="E94" s="36"/>
      <c r="F94" s="36" t="s">
        <v>31</v>
      </c>
      <c r="G94" s="36" t="s">
        <v>430</v>
      </c>
      <c r="H94" s="36" t="s">
        <v>431</v>
      </c>
      <c r="I94" s="36" t="s">
        <v>55</v>
      </c>
      <c r="J94" s="36" t="s">
        <v>56</v>
      </c>
      <c r="K94" s="36" t="s">
        <v>36</v>
      </c>
      <c r="L94" s="52" t="s">
        <v>95</v>
      </c>
      <c r="M94" s="36" t="s">
        <v>422</v>
      </c>
      <c r="N94" s="36" t="s">
        <v>1030</v>
      </c>
      <c r="O94" s="36" t="s">
        <v>422</v>
      </c>
      <c r="P94" s="36"/>
      <c r="Q94" s="36" t="s">
        <v>134</v>
      </c>
      <c r="R94" s="36" t="s">
        <v>5</v>
      </c>
      <c r="S94" s="37" t="s">
        <v>423</v>
      </c>
      <c r="T94" s="42">
        <v>1285890</v>
      </c>
      <c r="U94" s="39">
        <v>1285890</v>
      </c>
      <c r="V94" s="47">
        <v>1285890</v>
      </c>
      <c r="W94" s="28" t="s">
        <v>432</v>
      </c>
      <c r="X94" s="29" t="s">
        <v>287</v>
      </c>
      <c r="AA94">
        <v>1</v>
      </c>
      <c r="AB94">
        <v>1</v>
      </c>
      <c r="AC94">
        <v>1</v>
      </c>
    </row>
    <row r="95" spans="1:29" x14ac:dyDescent="0.2">
      <c r="A95" s="36" t="s">
        <v>433</v>
      </c>
      <c r="B95" s="36" t="s">
        <v>30</v>
      </c>
      <c r="C95" s="36" t="s">
        <v>1029</v>
      </c>
      <c r="D95" s="36"/>
      <c r="E95" s="36"/>
      <c r="F95" s="36" t="s">
        <v>31</v>
      </c>
      <c r="G95" s="36" t="s">
        <v>434</v>
      </c>
      <c r="H95" s="36" t="s">
        <v>435</v>
      </c>
      <c r="I95" s="36" t="s">
        <v>232</v>
      </c>
      <c r="J95" s="36" t="s">
        <v>133</v>
      </c>
      <c r="K95" s="36" t="s">
        <v>36</v>
      </c>
      <c r="L95" s="52" t="s">
        <v>95</v>
      </c>
      <c r="M95" s="36" t="s">
        <v>422</v>
      </c>
      <c r="N95" s="36" t="s">
        <v>1030</v>
      </c>
      <c r="O95" s="36" t="s">
        <v>422</v>
      </c>
      <c r="P95" s="36"/>
      <c r="Q95" s="36" t="s">
        <v>134</v>
      </c>
      <c r="R95" s="36" t="s">
        <v>5</v>
      </c>
      <c r="S95" s="37" t="s">
        <v>423</v>
      </c>
      <c r="T95" s="42">
        <v>767765</v>
      </c>
      <c r="U95" s="39">
        <v>767765</v>
      </c>
      <c r="V95" s="47">
        <v>767765</v>
      </c>
      <c r="W95" s="28" t="s">
        <v>436</v>
      </c>
      <c r="X95" s="29" t="s">
        <v>287</v>
      </c>
      <c r="AA95">
        <v>1</v>
      </c>
      <c r="AB95">
        <v>1</v>
      </c>
      <c r="AC95">
        <v>1</v>
      </c>
    </row>
    <row r="96" spans="1:29" x14ac:dyDescent="0.2">
      <c r="A96" s="36" t="s">
        <v>437</v>
      </c>
      <c r="B96" s="36" t="s">
        <v>30</v>
      </c>
      <c r="C96" s="36" t="s">
        <v>1029</v>
      </c>
      <c r="D96" s="36"/>
      <c r="E96" s="36"/>
      <c r="F96" s="36" t="s">
        <v>31</v>
      </c>
      <c r="G96" s="36" t="s">
        <v>438</v>
      </c>
      <c r="H96" s="36" t="s">
        <v>439</v>
      </c>
      <c r="I96" s="36" t="s">
        <v>55</v>
      </c>
      <c r="J96" s="36" t="s">
        <v>56</v>
      </c>
      <c r="K96" s="36" t="s">
        <v>36</v>
      </c>
      <c r="L96" s="52" t="s">
        <v>95</v>
      </c>
      <c r="M96" s="36" t="s">
        <v>422</v>
      </c>
      <c r="N96" s="36" t="s">
        <v>1030</v>
      </c>
      <c r="O96" s="36" t="s">
        <v>422</v>
      </c>
      <c r="P96" s="36"/>
      <c r="Q96" s="36" t="s">
        <v>134</v>
      </c>
      <c r="R96" s="36" t="s">
        <v>5</v>
      </c>
      <c r="S96" s="37" t="s">
        <v>423</v>
      </c>
      <c r="T96" s="42">
        <v>2202473</v>
      </c>
      <c r="U96" s="39">
        <v>2202473</v>
      </c>
      <c r="V96" s="47">
        <v>2202473</v>
      </c>
      <c r="W96" s="28" t="s">
        <v>440</v>
      </c>
      <c r="X96" s="29" t="s">
        <v>287</v>
      </c>
      <c r="AA96">
        <v>1</v>
      </c>
      <c r="AB96">
        <v>1</v>
      </c>
      <c r="AC96">
        <v>1</v>
      </c>
    </row>
    <row r="97" spans="1:29" x14ac:dyDescent="0.2">
      <c r="A97" s="36" t="s">
        <v>441</v>
      </c>
      <c r="B97" s="36" t="s">
        <v>30</v>
      </c>
      <c r="C97" s="36" t="s">
        <v>1029</v>
      </c>
      <c r="D97" s="36"/>
      <c r="E97" s="36"/>
      <c r="F97" s="36" t="s">
        <v>31</v>
      </c>
      <c r="G97" s="36" t="s">
        <v>442</v>
      </c>
      <c r="H97" s="36" t="s">
        <v>443</v>
      </c>
      <c r="I97" s="36" t="s">
        <v>132</v>
      </c>
      <c r="J97" s="36" t="s">
        <v>133</v>
      </c>
      <c r="K97" s="36" t="s">
        <v>36</v>
      </c>
      <c r="L97" s="52" t="s">
        <v>95</v>
      </c>
      <c r="M97" s="36" t="s">
        <v>422</v>
      </c>
      <c r="N97" s="36" t="s">
        <v>1030</v>
      </c>
      <c r="O97" s="36" t="s">
        <v>422</v>
      </c>
      <c r="P97" s="36"/>
      <c r="Q97" s="36" t="s">
        <v>134</v>
      </c>
      <c r="R97" s="36" t="s">
        <v>5</v>
      </c>
      <c r="S97" s="37" t="s">
        <v>423</v>
      </c>
      <c r="T97" s="42">
        <v>2488222.7599999998</v>
      </c>
      <c r="U97" s="39">
        <v>2488222.7599999998</v>
      </c>
      <c r="V97" s="47">
        <v>2488222.7599999998</v>
      </c>
      <c r="W97" s="28" t="s">
        <v>444</v>
      </c>
      <c r="X97" s="29" t="s">
        <v>287</v>
      </c>
      <c r="AA97">
        <v>1</v>
      </c>
      <c r="AB97">
        <v>1</v>
      </c>
      <c r="AC97">
        <v>1</v>
      </c>
    </row>
    <row r="98" spans="1:29" x14ac:dyDescent="0.2">
      <c r="A98" s="36" t="s">
        <v>445</v>
      </c>
      <c r="B98" s="36" t="s">
        <v>30</v>
      </c>
      <c r="C98" s="36" t="s">
        <v>1029</v>
      </c>
      <c r="D98" s="36"/>
      <c r="E98" s="36"/>
      <c r="F98" s="36" t="s">
        <v>31</v>
      </c>
      <c r="G98" s="36" t="s">
        <v>446</v>
      </c>
      <c r="H98" s="36" t="s">
        <v>447</v>
      </c>
      <c r="I98" s="36" t="s">
        <v>55</v>
      </c>
      <c r="J98" s="36" t="s">
        <v>56</v>
      </c>
      <c r="K98" s="36" t="s">
        <v>36</v>
      </c>
      <c r="L98" s="52" t="s">
        <v>95</v>
      </c>
      <c r="M98" s="36" t="s">
        <v>422</v>
      </c>
      <c r="N98" s="36" t="s">
        <v>1030</v>
      </c>
      <c r="O98" s="36" t="s">
        <v>422</v>
      </c>
      <c r="P98" s="36"/>
      <c r="Q98" s="36" t="s">
        <v>134</v>
      </c>
      <c r="R98" s="36" t="s">
        <v>5</v>
      </c>
      <c r="S98" s="37" t="s">
        <v>423</v>
      </c>
      <c r="T98" s="42">
        <v>1680130</v>
      </c>
      <c r="U98" s="39">
        <v>1680130</v>
      </c>
      <c r="V98" s="47">
        <v>1680130</v>
      </c>
      <c r="W98" s="28" t="s">
        <v>448</v>
      </c>
      <c r="X98" s="29" t="s">
        <v>287</v>
      </c>
      <c r="AA98">
        <v>1</v>
      </c>
      <c r="AB98">
        <v>1</v>
      </c>
      <c r="AC98">
        <v>1</v>
      </c>
    </row>
    <row r="99" spans="1:29" x14ac:dyDescent="0.2">
      <c r="A99" s="36" t="s">
        <v>449</v>
      </c>
      <c r="B99" s="36" t="s">
        <v>30</v>
      </c>
      <c r="C99" s="36" t="s">
        <v>1029</v>
      </c>
      <c r="D99" s="36"/>
      <c r="E99" s="36"/>
      <c r="F99" s="36" t="s">
        <v>31</v>
      </c>
      <c r="G99" s="36" t="s">
        <v>450</v>
      </c>
      <c r="H99" s="36" t="s">
        <v>109</v>
      </c>
      <c r="I99" s="36" t="s">
        <v>55</v>
      </c>
      <c r="J99" s="36" t="s">
        <v>56</v>
      </c>
      <c r="K99" s="36" t="s">
        <v>36</v>
      </c>
      <c r="L99" s="52" t="s">
        <v>95</v>
      </c>
      <c r="M99" s="36" t="s">
        <v>422</v>
      </c>
      <c r="N99" s="36" t="s">
        <v>1030</v>
      </c>
      <c r="O99" s="36" t="s">
        <v>422</v>
      </c>
      <c r="P99" s="36"/>
      <c r="Q99" s="36" t="s">
        <v>134</v>
      </c>
      <c r="R99" s="36" t="s">
        <v>5</v>
      </c>
      <c r="S99" s="37" t="s">
        <v>423</v>
      </c>
      <c r="T99" s="42">
        <v>2285048.7000000002</v>
      </c>
      <c r="U99" s="39">
        <v>2285048.7000000002</v>
      </c>
      <c r="V99" s="47">
        <v>2285048.7000000002</v>
      </c>
      <c r="W99" s="28" t="s">
        <v>451</v>
      </c>
      <c r="X99" s="29" t="s">
        <v>287</v>
      </c>
      <c r="AA99">
        <v>1</v>
      </c>
      <c r="AB99">
        <v>1</v>
      </c>
      <c r="AC99">
        <v>1</v>
      </c>
    </row>
    <row r="100" spans="1:29" x14ac:dyDescent="0.2">
      <c r="A100" s="36" t="s">
        <v>452</v>
      </c>
      <c r="B100" s="36" t="s">
        <v>30</v>
      </c>
      <c r="C100" s="36" t="s">
        <v>1029</v>
      </c>
      <c r="D100" s="36"/>
      <c r="E100" s="36"/>
      <c r="F100" s="36" t="s">
        <v>31</v>
      </c>
      <c r="G100" s="36" t="s">
        <v>453</v>
      </c>
      <c r="H100" s="36" t="s">
        <v>454</v>
      </c>
      <c r="I100" s="36" t="s">
        <v>455</v>
      </c>
      <c r="J100" s="36" t="s">
        <v>133</v>
      </c>
      <c r="K100" s="36" t="s">
        <v>36</v>
      </c>
      <c r="L100" s="52" t="s">
        <v>95</v>
      </c>
      <c r="M100" s="36" t="s">
        <v>422</v>
      </c>
      <c r="N100" s="36" t="s">
        <v>1030</v>
      </c>
      <c r="O100" s="36" t="s">
        <v>422</v>
      </c>
      <c r="P100" s="36"/>
      <c r="Q100" s="36" t="s">
        <v>134</v>
      </c>
      <c r="R100" s="36" t="s">
        <v>5</v>
      </c>
      <c r="S100" s="37" t="s">
        <v>423</v>
      </c>
      <c r="T100" s="42">
        <v>2559193.77</v>
      </c>
      <c r="U100" s="39">
        <v>2559193.77</v>
      </c>
      <c r="V100" s="47">
        <v>2559193.77</v>
      </c>
      <c r="W100" s="28" t="s">
        <v>456</v>
      </c>
      <c r="X100" s="29" t="s">
        <v>287</v>
      </c>
      <c r="AA100">
        <v>1</v>
      </c>
      <c r="AB100">
        <v>1</v>
      </c>
      <c r="AC100">
        <v>1</v>
      </c>
    </row>
    <row r="101" spans="1:29" x14ac:dyDescent="0.2">
      <c r="A101" s="36" t="s">
        <v>457</v>
      </c>
      <c r="B101" s="36" t="s">
        <v>30</v>
      </c>
      <c r="C101" s="36" t="s">
        <v>1029</v>
      </c>
      <c r="D101" s="36"/>
      <c r="E101" s="36"/>
      <c r="F101" s="36" t="s">
        <v>31</v>
      </c>
      <c r="G101" s="36" t="s">
        <v>458</v>
      </c>
      <c r="H101" s="36" t="s">
        <v>459</v>
      </c>
      <c r="I101" s="36" t="s">
        <v>460</v>
      </c>
      <c r="J101" s="36" t="s">
        <v>133</v>
      </c>
      <c r="K101" s="36" t="s">
        <v>36</v>
      </c>
      <c r="L101" s="52" t="s">
        <v>95</v>
      </c>
      <c r="M101" s="36" t="s">
        <v>422</v>
      </c>
      <c r="N101" s="36" t="s">
        <v>1030</v>
      </c>
      <c r="O101" s="36" t="s">
        <v>422</v>
      </c>
      <c r="P101" s="36"/>
      <c r="Q101" s="36" t="s">
        <v>134</v>
      </c>
      <c r="R101" s="36" t="s">
        <v>7</v>
      </c>
      <c r="S101" s="37" t="s">
        <v>423</v>
      </c>
      <c r="T101" s="42">
        <v>2545611.52</v>
      </c>
      <c r="U101" s="39">
        <v>2545611.52</v>
      </c>
      <c r="V101" s="47">
        <v>2545611.52</v>
      </c>
      <c r="W101" s="28" t="s">
        <v>461</v>
      </c>
      <c r="X101" s="29" t="s">
        <v>287</v>
      </c>
      <c r="AA101">
        <v>1</v>
      </c>
      <c r="AB101">
        <v>1</v>
      </c>
      <c r="AC101">
        <v>1</v>
      </c>
    </row>
    <row r="102" spans="1:29" x14ac:dyDescent="0.2">
      <c r="A102" s="36" t="s">
        <v>462</v>
      </c>
      <c r="B102" s="36" t="s">
        <v>30</v>
      </c>
      <c r="C102" s="36" t="s">
        <v>1029</v>
      </c>
      <c r="D102" s="36"/>
      <c r="E102" s="36"/>
      <c r="F102" s="36" t="s">
        <v>31</v>
      </c>
      <c r="G102" s="36" t="s">
        <v>463</v>
      </c>
      <c r="H102" s="36" t="s">
        <v>464</v>
      </c>
      <c r="I102" s="36" t="s">
        <v>307</v>
      </c>
      <c r="J102" s="36" t="s">
        <v>133</v>
      </c>
      <c r="K102" s="36" t="s">
        <v>36</v>
      </c>
      <c r="L102" s="52" t="s">
        <v>95</v>
      </c>
      <c r="M102" s="36" t="s">
        <v>422</v>
      </c>
      <c r="N102" s="36" t="s">
        <v>1030</v>
      </c>
      <c r="O102" s="36" t="s">
        <v>422</v>
      </c>
      <c r="P102" s="36"/>
      <c r="Q102" s="36" t="s">
        <v>134</v>
      </c>
      <c r="R102" s="36" t="s">
        <v>7</v>
      </c>
      <c r="S102" s="37" t="s">
        <v>423</v>
      </c>
      <c r="T102" s="42">
        <v>2552499.09</v>
      </c>
      <c r="U102" s="39">
        <v>2552499.09</v>
      </c>
      <c r="V102" s="47">
        <v>2552499.09</v>
      </c>
      <c r="W102" s="28" t="s">
        <v>465</v>
      </c>
      <c r="X102" s="29" t="s">
        <v>287</v>
      </c>
      <c r="AA102">
        <v>1</v>
      </c>
      <c r="AB102">
        <v>1</v>
      </c>
      <c r="AC102">
        <v>1</v>
      </c>
    </row>
    <row r="103" spans="1:29" x14ac:dyDescent="0.2">
      <c r="A103" s="36" t="s">
        <v>466</v>
      </c>
      <c r="B103" s="36" t="s">
        <v>30</v>
      </c>
      <c r="C103" s="36" t="s">
        <v>1029</v>
      </c>
      <c r="D103" s="36"/>
      <c r="E103" s="36"/>
      <c r="F103" s="36" t="s">
        <v>31</v>
      </c>
      <c r="G103" s="36" t="s">
        <v>467</v>
      </c>
      <c r="H103" s="36" t="s">
        <v>468</v>
      </c>
      <c r="I103" s="36" t="s">
        <v>307</v>
      </c>
      <c r="J103" s="36" t="s">
        <v>133</v>
      </c>
      <c r="K103" s="36" t="s">
        <v>36</v>
      </c>
      <c r="L103" s="52" t="s">
        <v>95</v>
      </c>
      <c r="M103" s="36" t="s">
        <v>262</v>
      </c>
      <c r="N103" s="36" t="s">
        <v>1032</v>
      </c>
      <c r="O103" s="36"/>
      <c r="P103" s="36"/>
      <c r="Q103" s="36" t="s">
        <v>134</v>
      </c>
      <c r="R103" s="36" t="s">
        <v>5</v>
      </c>
      <c r="S103" s="37" t="s">
        <v>368</v>
      </c>
      <c r="T103" s="42">
        <v>1066364.5900000001</v>
      </c>
      <c r="U103" s="39">
        <v>1066364.5900000001</v>
      </c>
      <c r="V103" s="47">
        <v>1066364.5900000001</v>
      </c>
      <c r="W103" s="28" t="s">
        <v>469</v>
      </c>
      <c r="X103" s="29" t="s">
        <v>287</v>
      </c>
      <c r="AA103" s="78">
        <v>2</v>
      </c>
      <c r="AB103" s="78">
        <v>1</v>
      </c>
      <c r="AC103" s="78">
        <v>3</v>
      </c>
    </row>
    <row r="104" spans="1:29" x14ac:dyDescent="0.2">
      <c r="A104" s="36" t="s">
        <v>470</v>
      </c>
      <c r="B104" s="36" t="s">
        <v>30</v>
      </c>
      <c r="C104" s="36" t="s">
        <v>1029</v>
      </c>
      <c r="D104" s="36"/>
      <c r="E104" s="36"/>
      <c r="F104" s="36" t="s">
        <v>31</v>
      </c>
      <c r="G104" s="36" t="s">
        <v>471</v>
      </c>
      <c r="H104" s="36" t="s">
        <v>472</v>
      </c>
      <c r="I104" s="36" t="s">
        <v>46</v>
      </c>
      <c r="J104" s="36" t="s">
        <v>35</v>
      </c>
      <c r="K104" s="36" t="s">
        <v>36</v>
      </c>
      <c r="L104" s="52" t="s">
        <v>101</v>
      </c>
      <c r="M104" s="36" t="s">
        <v>262</v>
      </c>
      <c r="N104" s="36" t="s">
        <v>1032</v>
      </c>
      <c r="O104" s="36"/>
      <c r="P104" s="36"/>
      <c r="Q104" s="36" t="s">
        <v>134</v>
      </c>
      <c r="R104" s="36" t="s">
        <v>9</v>
      </c>
      <c r="S104" s="37" t="s">
        <v>368</v>
      </c>
      <c r="T104" s="39">
        <v>6685.81</v>
      </c>
      <c r="U104" s="39">
        <v>6685.81</v>
      </c>
      <c r="V104" s="47">
        <v>6685.81</v>
      </c>
      <c r="W104" s="28" t="s">
        <v>473</v>
      </c>
      <c r="X104" s="29" t="s">
        <v>287</v>
      </c>
    </row>
    <row r="105" spans="1:29" x14ac:dyDescent="0.2">
      <c r="A105" s="36" t="s">
        <v>474</v>
      </c>
      <c r="B105" s="36" t="s">
        <v>30</v>
      </c>
      <c r="C105" s="36" t="s">
        <v>1029</v>
      </c>
      <c r="D105" s="36"/>
      <c r="E105" s="36"/>
      <c r="F105" s="36" t="s">
        <v>31</v>
      </c>
      <c r="G105" s="36" t="s">
        <v>475</v>
      </c>
      <c r="H105" s="36" t="s">
        <v>476</v>
      </c>
      <c r="I105" s="36" t="s">
        <v>46</v>
      </c>
      <c r="J105" s="36" t="s">
        <v>35</v>
      </c>
      <c r="K105" s="36" t="s">
        <v>36</v>
      </c>
      <c r="L105" s="52" t="s">
        <v>95</v>
      </c>
      <c r="M105" s="36" t="s">
        <v>262</v>
      </c>
      <c r="N105" s="36" t="s">
        <v>1032</v>
      </c>
      <c r="O105" s="36"/>
      <c r="P105" s="36"/>
      <c r="Q105" s="36" t="s">
        <v>134</v>
      </c>
      <c r="R105" s="36" t="s">
        <v>5</v>
      </c>
      <c r="S105" s="37" t="s">
        <v>368</v>
      </c>
      <c r="T105" s="42">
        <v>562312.35</v>
      </c>
      <c r="U105" s="39">
        <v>562312.35</v>
      </c>
      <c r="V105" s="47">
        <v>562312.35</v>
      </c>
      <c r="W105" s="28" t="s">
        <v>477</v>
      </c>
      <c r="X105" s="29" t="s">
        <v>287</v>
      </c>
      <c r="AA105">
        <v>4</v>
      </c>
      <c r="AB105">
        <v>1</v>
      </c>
      <c r="AC105">
        <v>4</v>
      </c>
    </row>
    <row r="106" spans="1:29" x14ac:dyDescent="0.2">
      <c r="A106" s="36" t="s">
        <v>478</v>
      </c>
      <c r="B106" s="36" t="s">
        <v>30</v>
      </c>
      <c r="C106" s="36" t="s">
        <v>1029</v>
      </c>
      <c r="D106" s="36"/>
      <c r="E106" s="36"/>
      <c r="F106" s="36" t="s">
        <v>31</v>
      </c>
      <c r="G106" s="36" t="s">
        <v>479</v>
      </c>
      <c r="H106" s="36" t="s">
        <v>480</v>
      </c>
      <c r="I106" s="36" t="s">
        <v>34</v>
      </c>
      <c r="J106" s="36" t="s">
        <v>35</v>
      </c>
      <c r="K106" s="36" t="s">
        <v>36</v>
      </c>
      <c r="L106" s="52" t="s">
        <v>95</v>
      </c>
      <c r="M106" s="36" t="s">
        <v>262</v>
      </c>
      <c r="N106" s="36" t="s">
        <v>1032</v>
      </c>
      <c r="O106" s="36"/>
      <c r="P106" s="36"/>
      <c r="Q106" s="36" t="s">
        <v>134</v>
      </c>
      <c r="R106" s="36" t="s">
        <v>5</v>
      </c>
      <c r="S106" s="37" t="s">
        <v>368</v>
      </c>
      <c r="T106" s="42">
        <v>3500000</v>
      </c>
      <c r="U106" s="39">
        <v>3500000</v>
      </c>
      <c r="V106" s="47">
        <v>3500000</v>
      </c>
      <c r="W106" s="28" t="s">
        <v>481</v>
      </c>
      <c r="X106" s="29" t="s">
        <v>287</v>
      </c>
      <c r="AA106">
        <v>1</v>
      </c>
      <c r="AB106">
        <v>1</v>
      </c>
      <c r="AC106">
        <v>1</v>
      </c>
    </row>
    <row r="107" spans="1:29" x14ac:dyDescent="0.2">
      <c r="A107" s="36" t="s">
        <v>482</v>
      </c>
      <c r="B107" s="36" t="s">
        <v>30</v>
      </c>
      <c r="C107" s="36" t="s">
        <v>1029</v>
      </c>
      <c r="D107" s="36"/>
      <c r="E107" s="36"/>
      <c r="F107" s="36" t="s">
        <v>31</v>
      </c>
      <c r="G107" s="36" t="s">
        <v>483</v>
      </c>
      <c r="H107" s="36" t="s">
        <v>278</v>
      </c>
      <c r="I107" s="36" t="s">
        <v>46</v>
      </c>
      <c r="J107" s="36" t="s">
        <v>35</v>
      </c>
      <c r="K107" s="36" t="s">
        <v>36</v>
      </c>
      <c r="L107" s="52" t="s">
        <v>95</v>
      </c>
      <c r="M107" s="36" t="s">
        <v>262</v>
      </c>
      <c r="N107" s="36" t="s">
        <v>1032</v>
      </c>
      <c r="O107" s="36"/>
      <c r="P107" s="36"/>
      <c r="Q107" s="36" t="s">
        <v>134</v>
      </c>
      <c r="R107" s="36" t="s">
        <v>5</v>
      </c>
      <c r="S107" s="37" t="s">
        <v>368</v>
      </c>
      <c r="T107" s="42">
        <v>2597234.7400000002</v>
      </c>
      <c r="U107" s="39">
        <v>2597234.7400000002</v>
      </c>
      <c r="V107" s="47">
        <v>2597234.7400000002</v>
      </c>
      <c r="W107" s="28" t="s">
        <v>484</v>
      </c>
      <c r="X107" s="29" t="s">
        <v>287</v>
      </c>
      <c r="AA107">
        <v>1</v>
      </c>
      <c r="AB107">
        <v>1</v>
      </c>
      <c r="AC107">
        <v>1</v>
      </c>
    </row>
    <row r="108" spans="1:29" x14ac:dyDescent="0.2">
      <c r="A108" s="36" t="s">
        <v>485</v>
      </c>
      <c r="B108" s="36" t="s">
        <v>30</v>
      </c>
      <c r="C108" s="36" t="s">
        <v>1029</v>
      </c>
      <c r="D108" s="36"/>
      <c r="E108" s="36"/>
      <c r="F108" s="36" t="s">
        <v>31</v>
      </c>
      <c r="G108" s="36" t="s">
        <v>486</v>
      </c>
      <c r="H108" s="36" t="s">
        <v>99</v>
      </c>
      <c r="I108" s="36" t="s">
        <v>100</v>
      </c>
      <c r="J108" s="36" t="s">
        <v>35</v>
      </c>
      <c r="K108" s="36" t="s">
        <v>36</v>
      </c>
      <c r="L108" s="52" t="s">
        <v>95</v>
      </c>
      <c r="M108" s="36" t="s">
        <v>262</v>
      </c>
      <c r="N108" s="36" t="s">
        <v>1032</v>
      </c>
      <c r="O108" s="36"/>
      <c r="P108" s="36"/>
      <c r="Q108" s="36" t="s">
        <v>134</v>
      </c>
      <c r="R108" s="36" t="s">
        <v>5</v>
      </c>
      <c r="S108" s="37" t="s">
        <v>368</v>
      </c>
      <c r="T108" s="42">
        <v>307470.31</v>
      </c>
      <c r="U108" s="39">
        <v>307470.31</v>
      </c>
      <c r="V108" s="47">
        <v>307470.31</v>
      </c>
      <c r="W108" s="28" t="s">
        <v>487</v>
      </c>
      <c r="X108" s="29" t="s">
        <v>287</v>
      </c>
      <c r="AA108" s="78">
        <v>1</v>
      </c>
      <c r="AB108" s="78">
        <v>1</v>
      </c>
      <c r="AC108" s="78">
        <v>1</v>
      </c>
    </row>
    <row r="109" spans="1:29" x14ac:dyDescent="0.2">
      <c r="A109" s="36" t="s">
        <v>488</v>
      </c>
      <c r="B109" s="36" t="s">
        <v>30</v>
      </c>
      <c r="C109" s="36" t="s">
        <v>1029</v>
      </c>
      <c r="D109" s="36"/>
      <c r="E109" s="36"/>
      <c r="F109" s="36" t="s">
        <v>31</v>
      </c>
      <c r="G109" s="36" t="s">
        <v>489</v>
      </c>
      <c r="H109" s="36" t="s">
        <v>490</v>
      </c>
      <c r="I109" s="36" t="s">
        <v>46</v>
      </c>
      <c r="J109" s="36" t="s">
        <v>35</v>
      </c>
      <c r="K109" s="36" t="s">
        <v>36</v>
      </c>
      <c r="L109" s="52" t="s">
        <v>95</v>
      </c>
      <c r="M109" s="36" t="s">
        <v>262</v>
      </c>
      <c r="N109" s="36" t="s">
        <v>1032</v>
      </c>
      <c r="O109" s="36"/>
      <c r="P109" s="36"/>
      <c r="Q109" s="36" t="s">
        <v>491</v>
      </c>
      <c r="R109" s="36" t="s">
        <v>5</v>
      </c>
      <c r="S109" s="37" t="s">
        <v>492</v>
      </c>
      <c r="T109" s="39">
        <v>95580.39</v>
      </c>
      <c r="U109" s="39">
        <v>95580.39</v>
      </c>
      <c r="V109" s="47">
        <v>95580.39</v>
      </c>
      <c r="W109" s="28" t="s">
        <v>493</v>
      </c>
      <c r="X109" s="29" t="s">
        <v>494</v>
      </c>
      <c r="AA109" s="78">
        <v>1</v>
      </c>
      <c r="AB109" s="78">
        <v>1</v>
      </c>
      <c r="AC109" s="78">
        <v>1</v>
      </c>
    </row>
    <row r="110" spans="1:29" x14ac:dyDescent="0.2">
      <c r="A110" s="36" t="s">
        <v>495</v>
      </c>
      <c r="B110" s="36" t="s">
        <v>30</v>
      </c>
      <c r="C110" s="36" t="s">
        <v>1029</v>
      </c>
      <c r="D110" s="36"/>
      <c r="E110" s="36"/>
      <c r="F110" s="36" t="s">
        <v>31</v>
      </c>
      <c r="G110" s="36" t="s">
        <v>496</v>
      </c>
      <c r="H110" s="36" t="s">
        <v>91</v>
      </c>
      <c r="I110" s="36" t="s">
        <v>55</v>
      </c>
      <c r="J110" s="36" t="s">
        <v>56</v>
      </c>
      <c r="K110" s="36" t="s">
        <v>36</v>
      </c>
      <c r="L110" s="52" t="s">
        <v>95</v>
      </c>
      <c r="M110" s="36" t="s">
        <v>262</v>
      </c>
      <c r="N110" s="36" t="s">
        <v>1032</v>
      </c>
      <c r="P110" s="36"/>
      <c r="Q110" s="36" t="s">
        <v>134</v>
      </c>
      <c r="R110" s="36" t="s">
        <v>6</v>
      </c>
      <c r="S110" s="37" t="s">
        <v>492</v>
      </c>
      <c r="T110" s="42">
        <v>21000026</v>
      </c>
      <c r="U110" s="39">
        <v>21000026</v>
      </c>
      <c r="V110" s="47">
        <v>21000026</v>
      </c>
      <c r="W110" s="28" t="s">
        <v>497</v>
      </c>
      <c r="X110" s="29" t="s">
        <v>494</v>
      </c>
      <c r="AA110" s="78">
        <v>1</v>
      </c>
      <c r="AB110" s="78">
        <v>1</v>
      </c>
      <c r="AC110" s="78">
        <v>1</v>
      </c>
    </row>
    <row r="111" spans="1:29" x14ac:dyDescent="0.2">
      <c r="A111" s="36" t="s">
        <v>498</v>
      </c>
      <c r="B111" s="36" t="s">
        <v>30</v>
      </c>
      <c r="C111" s="36" t="s">
        <v>1029</v>
      </c>
      <c r="D111" s="36"/>
      <c r="E111" s="36"/>
      <c r="F111" s="36" t="s">
        <v>31</v>
      </c>
      <c r="G111" s="36" t="s">
        <v>499</v>
      </c>
      <c r="H111" s="36" t="s">
        <v>99</v>
      </c>
      <c r="I111" s="36" t="s">
        <v>100</v>
      </c>
      <c r="J111" s="36" t="s">
        <v>35</v>
      </c>
      <c r="K111" s="36" t="s">
        <v>36</v>
      </c>
      <c r="L111" s="52" t="s">
        <v>95</v>
      </c>
      <c r="M111" s="36" t="s">
        <v>262</v>
      </c>
      <c r="N111" s="36" t="s">
        <v>1032</v>
      </c>
      <c r="O111" s="36"/>
      <c r="P111" s="36"/>
      <c r="Q111" s="36" t="s">
        <v>491</v>
      </c>
      <c r="R111" s="36" t="s">
        <v>5</v>
      </c>
      <c r="S111" s="37" t="s">
        <v>500</v>
      </c>
      <c r="T111" s="39">
        <v>1908694.7</v>
      </c>
      <c r="U111" s="39">
        <v>1908694.7</v>
      </c>
      <c r="V111" s="47">
        <v>1908694.7</v>
      </c>
      <c r="W111" s="28" t="s">
        <v>501</v>
      </c>
      <c r="X111" s="29" t="s">
        <v>494</v>
      </c>
      <c r="AA111" s="78">
        <v>1</v>
      </c>
      <c r="AB111" s="78">
        <v>1</v>
      </c>
      <c r="AC111" s="78">
        <v>4</v>
      </c>
    </row>
    <row r="112" spans="1:29" ht="32" x14ac:dyDescent="0.2">
      <c r="A112" s="36" t="s">
        <v>502</v>
      </c>
      <c r="B112" s="36" t="s">
        <v>30</v>
      </c>
      <c r="C112" s="36" t="s">
        <v>1029</v>
      </c>
      <c r="D112" s="36"/>
      <c r="E112" s="36"/>
      <c r="F112" s="36" t="s">
        <v>31</v>
      </c>
      <c r="G112" s="36" t="s">
        <v>394</v>
      </c>
      <c r="H112" s="36" t="s">
        <v>503</v>
      </c>
      <c r="I112" s="36" t="s">
        <v>232</v>
      </c>
      <c r="J112" s="36" t="s">
        <v>133</v>
      </c>
      <c r="K112" s="36" t="s">
        <v>36</v>
      </c>
      <c r="L112" s="52" t="s">
        <v>95</v>
      </c>
      <c r="M112" s="36" t="s">
        <v>504</v>
      </c>
      <c r="N112" s="36" t="s">
        <v>1030</v>
      </c>
      <c r="O112" s="73" t="s">
        <v>373</v>
      </c>
      <c r="P112" s="36"/>
      <c r="Q112" s="36" t="s">
        <v>134</v>
      </c>
      <c r="R112" s="36" t="s">
        <v>5</v>
      </c>
      <c r="S112" s="37" t="s">
        <v>374</v>
      </c>
      <c r="T112" s="41">
        <v>0</v>
      </c>
      <c r="U112" s="39">
        <v>349253.13</v>
      </c>
      <c r="V112" s="47">
        <v>349253.13</v>
      </c>
      <c r="W112" s="28" t="s">
        <v>505</v>
      </c>
      <c r="X112" s="29" t="s">
        <v>287</v>
      </c>
      <c r="Y112" s="75" t="s">
        <v>1031</v>
      </c>
      <c r="Z112" s="75" t="s">
        <v>1034</v>
      </c>
      <c r="AA112">
        <v>1</v>
      </c>
      <c r="AB112">
        <v>1</v>
      </c>
      <c r="AC112">
        <v>3</v>
      </c>
    </row>
    <row r="113" spans="1:29" x14ac:dyDescent="0.2">
      <c r="A113" s="36" t="s">
        <v>506</v>
      </c>
      <c r="B113" s="36" t="s">
        <v>30</v>
      </c>
      <c r="C113" s="36" t="s">
        <v>1029</v>
      </c>
      <c r="D113" s="36"/>
      <c r="E113" s="36"/>
      <c r="F113" s="36" t="s">
        <v>31</v>
      </c>
      <c r="G113" s="36" t="s">
        <v>310</v>
      </c>
      <c r="H113" s="36" t="s">
        <v>54</v>
      </c>
      <c r="I113" s="36" t="s">
        <v>55</v>
      </c>
      <c r="J113" s="36" t="s">
        <v>56</v>
      </c>
      <c r="K113" s="36" t="s">
        <v>36</v>
      </c>
      <c r="L113" s="52" t="s">
        <v>47</v>
      </c>
      <c r="M113" s="43" t="s">
        <v>284</v>
      </c>
      <c r="N113" s="43" t="s">
        <v>1030</v>
      </c>
      <c r="O113" s="43" t="s">
        <v>284</v>
      </c>
      <c r="P113" s="43"/>
      <c r="Q113" s="36" t="s">
        <v>134</v>
      </c>
      <c r="R113" s="36" t="s">
        <v>5</v>
      </c>
      <c r="S113" s="37" t="s">
        <v>285</v>
      </c>
      <c r="T113" s="41">
        <v>0</v>
      </c>
      <c r="U113" s="39">
        <v>295111</v>
      </c>
      <c r="V113" s="47">
        <v>295111</v>
      </c>
      <c r="W113" s="28" t="s">
        <v>507</v>
      </c>
      <c r="X113" s="29" t="s">
        <v>287</v>
      </c>
      <c r="Y113" s="75" t="s">
        <v>1031</v>
      </c>
      <c r="Z113" s="75" t="s">
        <v>1034</v>
      </c>
      <c r="AA113">
        <v>1</v>
      </c>
      <c r="AB113">
        <v>1</v>
      </c>
      <c r="AC113">
        <v>1</v>
      </c>
    </row>
    <row r="114" spans="1:29" x14ac:dyDescent="0.2">
      <c r="A114" s="36" t="s">
        <v>508</v>
      </c>
      <c r="B114" s="36" t="s">
        <v>30</v>
      </c>
      <c r="C114" s="36" t="s">
        <v>1029</v>
      </c>
      <c r="D114" s="36"/>
      <c r="E114" s="36"/>
      <c r="F114" s="36" t="s">
        <v>31</v>
      </c>
      <c r="G114" s="36" t="s">
        <v>426</v>
      </c>
      <c r="H114" s="36" t="s">
        <v>45</v>
      </c>
      <c r="I114" s="36" t="s">
        <v>46</v>
      </c>
      <c r="J114" s="36" t="s">
        <v>35</v>
      </c>
      <c r="K114" s="36" t="s">
        <v>36</v>
      </c>
      <c r="L114" s="52" t="s">
        <v>95</v>
      </c>
      <c r="M114" s="36" t="s">
        <v>422</v>
      </c>
      <c r="N114" s="36" t="s">
        <v>1030</v>
      </c>
      <c r="O114" s="36" t="s">
        <v>422</v>
      </c>
      <c r="P114" s="36"/>
      <c r="Q114" s="36" t="s">
        <v>39</v>
      </c>
      <c r="R114" s="36" t="s">
        <v>5</v>
      </c>
      <c r="S114" s="37" t="s">
        <v>423</v>
      </c>
      <c r="T114" s="42">
        <v>755915.2</v>
      </c>
      <c r="U114" s="39">
        <v>755915.2</v>
      </c>
      <c r="V114" s="47">
        <v>755915.2</v>
      </c>
      <c r="W114" s="28" t="s">
        <v>509</v>
      </c>
      <c r="X114" s="29" t="s">
        <v>287</v>
      </c>
      <c r="AA114">
        <v>1</v>
      </c>
      <c r="AB114">
        <v>1</v>
      </c>
      <c r="AC114">
        <v>1</v>
      </c>
    </row>
    <row r="115" spans="1:29" x14ac:dyDescent="0.2">
      <c r="A115" s="36" t="s">
        <v>510</v>
      </c>
      <c r="B115" s="36" t="s">
        <v>30</v>
      </c>
      <c r="C115" s="36" t="s">
        <v>1029</v>
      </c>
      <c r="D115" s="36"/>
      <c r="E115" s="36"/>
      <c r="F115" s="36" t="s">
        <v>31</v>
      </c>
      <c r="G115" s="36" t="s">
        <v>511</v>
      </c>
      <c r="H115" s="36" t="s">
        <v>512</v>
      </c>
      <c r="I115" s="36" t="s">
        <v>55</v>
      </c>
      <c r="J115" s="36" t="s">
        <v>56</v>
      </c>
      <c r="K115" s="36" t="s">
        <v>36</v>
      </c>
      <c r="L115" s="52" t="s">
        <v>95</v>
      </c>
      <c r="M115" s="36" t="s">
        <v>422</v>
      </c>
      <c r="N115" s="36" t="s">
        <v>1030</v>
      </c>
      <c r="O115" s="36" t="s">
        <v>422</v>
      </c>
      <c r="P115" s="36"/>
      <c r="Q115" s="36" t="s">
        <v>134</v>
      </c>
      <c r="R115" s="36" t="s">
        <v>5</v>
      </c>
      <c r="S115" s="37" t="s">
        <v>423</v>
      </c>
      <c r="T115" s="42">
        <v>1285746</v>
      </c>
      <c r="U115" s="39">
        <v>1285746</v>
      </c>
      <c r="V115" s="47">
        <v>1285746</v>
      </c>
      <c r="W115" s="28" t="s">
        <v>513</v>
      </c>
      <c r="X115" s="29" t="s">
        <v>287</v>
      </c>
      <c r="AA115">
        <v>1</v>
      </c>
      <c r="AB115">
        <v>1</v>
      </c>
      <c r="AC115">
        <v>1</v>
      </c>
    </row>
    <row r="116" spans="1:29" x14ac:dyDescent="0.2">
      <c r="A116" s="36" t="s">
        <v>514</v>
      </c>
      <c r="B116" s="36" t="s">
        <v>30</v>
      </c>
      <c r="C116" s="36" t="s">
        <v>1029</v>
      </c>
      <c r="D116" s="36"/>
      <c r="E116" s="36"/>
      <c r="F116" s="36" t="s">
        <v>31</v>
      </c>
      <c r="G116" s="36" t="s">
        <v>515</v>
      </c>
      <c r="H116" s="36" t="s">
        <v>516</v>
      </c>
      <c r="I116" s="36" t="s">
        <v>455</v>
      </c>
      <c r="J116" s="36" t="s">
        <v>133</v>
      </c>
      <c r="K116" s="36" t="s">
        <v>36</v>
      </c>
      <c r="L116" s="52" t="s">
        <v>101</v>
      </c>
      <c r="M116" s="36" t="s">
        <v>262</v>
      </c>
      <c r="N116" s="36" t="s">
        <v>1032</v>
      </c>
      <c r="O116" s="36"/>
      <c r="P116" s="36"/>
      <c r="Q116" s="36" t="s">
        <v>491</v>
      </c>
      <c r="R116" s="36" t="s">
        <v>7</v>
      </c>
      <c r="S116" s="37" t="s">
        <v>492</v>
      </c>
      <c r="T116" s="42">
        <v>194557</v>
      </c>
      <c r="U116" s="39">
        <v>194557</v>
      </c>
      <c r="V116" s="47">
        <v>194557</v>
      </c>
      <c r="W116" s="28" t="s">
        <v>517</v>
      </c>
      <c r="X116" s="29" t="s">
        <v>494</v>
      </c>
      <c r="AA116">
        <v>1</v>
      </c>
      <c r="AB116">
        <v>3</v>
      </c>
      <c r="AC116">
        <v>2</v>
      </c>
    </row>
    <row r="117" spans="1:29" x14ac:dyDescent="0.2">
      <c r="A117" s="36" t="s">
        <v>518</v>
      </c>
      <c r="B117" s="36" t="s">
        <v>30</v>
      </c>
      <c r="C117" s="36" t="s">
        <v>1029</v>
      </c>
      <c r="D117" s="36"/>
      <c r="E117" s="36"/>
      <c r="F117" s="36" t="s">
        <v>31</v>
      </c>
      <c r="G117" s="36" t="s">
        <v>519</v>
      </c>
      <c r="H117" s="36" t="s">
        <v>520</v>
      </c>
      <c r="I117" s="36" t="s">
        <v>68</v>
      </c>
      <c r="J117" s="36" t="s">
        <v>35</v>
      </c>
      <c r="K117" s="36" t="s">
        <v>36</v>
      </c>
      <c r="L117" s="52" t="s">
        <v>95</v>
      </c>
      <c r="M117" s="36" t="s">
        <v>521</v>
      </c>
      <c r="N117" s="36" t="s">
        <v>1030</v>
      </c>
      <c r="O117" s="36" t="s">
        <v>1036</v>
      </c>
      <c r="P117" s="36"/>
      <c r="Q117" s="36" t="s">
        <v>39</v>
      </c>
      <c r="R117" s="36" t="s">
        <v>6</v>
      </c>
      <c r="S117" s="37">
        <v>45504</v>
      </c>
      <c r="T117" s="42">
        <v>2651067.2000000002</v>
      </c>
      <c r="U117" s="40">
        <v>2651067.2000000002</v>
      </c>
      <c r="V117" s="47">
        <v>2651067.2000000002</v>
      </c>
      <c r="W117" s="28"/>
      <c r="X117" s="29" t="s">
        <v>494</v>
      </c>
      <c r="AA117">
        <v>1</v>
      </c>
      <c r="AB117">
        <v>1</v>
      </c>
      <c r="AC117">
        <v>1</v>
      </c>
    </row>
    <row r="118" spans="1:29" x14ac:dyDescent="0.2">
      <c r="A118" s="36" t="s">
        <v>522</v>
      </c>
      <c r="B118" s="36" t="s">
        <v>30</v>
      </c>
      <c r="C118" s="36" t="s">
        <v>1029</v>
      </c>
      <c r="D118" s="36"/>
      <c r="E118" s="36"/>
      <c r="F118" s="36" t="s">
        <v>31</v>
      </c>
      <c r="G118" s="36" t="s">
        <v>523</v>
      </c>
      <c r="H118" s="36" t="s">
        <v>408</v>
      </c>
      <c r="I118" s="36" t="s">
        <v>132</v>
      </c>
      <c r="J118" s="36" t="s">
        <v>133</v>
      </c>
      <c r="K118" s="36" t="s">
        <v>36</v>
      </c>
      <c r="L118" s="52" t="s">
        <v>95</v>
      </c>
      <c r="M118" s="36" t="s">
        <v>521</v>
      </c>
      <c r="N118" s="36" t="s">
        <v>1030</v>
      </c>
      <c r="O118" s="36" t="s">
        <v>1036</v>
      </c>
      <c r="P118" s="36"/>
      <c r="Q118" s="36" t="s">
        <v>39</v>
      </c>
      <c r="R118" s="36" t="s">
        <v>6</v>
      </c>
      <c r="S118" s="37">
        <v>45504</v>
      </c>
      <c r="T118" s="42">
        <v>2549696</v>
      </c>
      <c r="U118" s="40">
        <v>2549696</v>
      </c>
      <c r="V118" s="47">
        <v>2549696</v>
      </c>
      <c r="W118" s="28"/>
      <c r="X118" s="29" t="s">
        <v>494</v>
      </c>
      <c r="AA118">
        <v>1</v>
      </c>
      <c r="AB118">
        <v>1</v>
      </c>
      <c r="AC118">
        <v>1</v>
      </c>
    </row>
    <row r="119" spans="1:29" x14ac:dyDescent="0.2">
      <c r="A119" s="36" t="s">
        <v>524</v>
      </c>
      <c r="B119" s="36" t="s">
        <v>30</v>
      </c>
      <c r="C119" s="36" t="s">
        <v>1029</v>
      </c>
      <c r="D119" s="36"/>
      <c r="E119" s="36"/>
      <c r="F119" s="36" t="s">
        <v>31</v>
      </c>
      <c r="G119" s="36" t="s">
        <v>525</v>
      </c>
      <c r="H119" s="36" t="s">
        <v>526</v>
      </c>
      <c r="I119" s="36" t="s">
        <v>68</v>
      </c>
      <c r="J119" s="36" t="s">
        <v>35</v>
      </c>
      <c r="K119" s="36" t="s">
        <v>36</v>
      </c>
      <c r="L119" s="52" t="s">
        <v>95</v>
      </c>
      <c r="M119" s="36" t="s">
        <v>521</v>
      </c>
      <c r="N119" s="36" t="s">
        <v>1030</v>
      </c>
      <c r="O119" s="36" t="s">
        <v>1036</v>
      </c>
      <c r="P119" s="36"/>
      <c r="Q119" s="36" t="s">
        <v>39</v>
      </c>
      <c r="R119" s="36" t="s">
        <v>6</v>
      </c>
      <c r="S119" s="37">
        <v>45505</v>
      </c>
      <c r="T119" s="42">
        <v>2614401.42</v>
      </c>
      <c r="U119" s="40">
        <v>2614401.42</v>
      </c>
      <c r="V119" s="47">
        <v>2614401.42</v>
      </c>
      <c r="W119" s="28"/>
      <c r="X119" s="29" t="s">
        <v>494</v>
      </c>
      <c r="AA119">
        <v>1</v>
      </c>
      <c r="AB119">
        <v>1</v>
      </c>
      <c r="AC119">
        <v>1</v>
      </c>
    </row>
    <row r="120" spans="1:29" x14ac:dyDescent="0.2">
      <c r="A120" s="36" t="s">
        <v>527</v>
      </c>
      <c r="B120" s="36" t="s">
        <v>30</v>
      </c>
      <c r="C120" s="36" t="s">
        <v>1029</v>
      </c>
      <c r="D120" s="36"/>
      <c r="E120" s="36"/>
      <c r="F120" s="36" t="s">
        <v>31</v>
      </c>
      <c r="G120" s="36" t="s">
        <v>528</v>
      </c>
      <c r="H120" s="36" t="s">
        <v>529</v>
      </c>
      <c r="I120" s="36" t="s">
        <v>132</v>
      </c>
      <c r="J120" s="36" t="s">
        <v>133</v>
      </c>
      <c r="K120" s="36" t="s">
        <v>36</v>
      </c>
      <c r="L120" s="52" t="s">
        <v>95</v>
      </c>
      <c r="M120" s="36" t="s">
        <v>521</v>
      </c>
      <c r="N120" s="36" t="s">
        <v>1030</v>
      </c>
      <c r="O120" s="36" t="s">
        <v>1036</v>
      </c>
      <c r="P120" s="36"/>
      <c r="Q120" s="36" t="s">
        <v>39</v>
      </c>
      <c r="R120" s="36" t="s">
        <v>6</v>
      </c>
      <c r="S120" s="37">
        <v>45506</v>
      </c>
      <c r="T120" s="42">
        <v>2541258</v>
      </c>
      <c r="U120" s="40">
        <v>2541258</v>
      </c>
      <c r="V120" s="47">
        <v>2541258</v>
      </c>
      <c r="W120" s="28"/>
      <c r="X120" s="29" t="s">
        <v>494</v>
      </c>
      <c r="AA120">
        <v>1</v>
      </c>
      <c r="AB120">
        <v>1</v>
      </c>
      <c r="AC120">
        <v>1</v>
      </c>
    </row>
    <row r="121" spans="1:29" x14ac:dyDescent="0.2">
      <c r="A121" s="36" t="s">
        <v>530</v>
      </c>
      <c r="B121" s="36" t="s">
        <v>30</v>
      </c>
      <c r="C121" s="36" t="s">
        <v>1029</v>
      </c>
      <c r="D121" s="36"/>
      <c r="E121" s="36"/>
      <c r="F121" s="36" t="s">
        <v>31</v>
      </c>
      <c r="G121" s="36" t="s">
        <v>531</v>
      </c>
      <c r="H121" s="36" t="s">
        <v>464</v>
      </c>
      <c r="I121" s="36" t="s">
        <v>307</v>
      </c>
      <c r="J121" s="36" t="s">
        <v>133</v>
      </c>
      <c r="K121" s="36" t="s">
        <v>36</v>
      </c>
      <c r="L121" s="52" t="s">
        <v>95</v>
      </c>
      <c r="M121" s="36" t="s">
        <v>521</v>
      </c>
      <c r="N121" s="36" t="s">
        <v>1030</v>
      </c>
      <c r="O121" s="36" t="s">
        <v>1036</v>
      </c>
      <c r="P121" s="36"/>
      <c r="Q121" s="36" t="s">
        <v>134</v>
      </c>
      <c r="R121" s="36" t="s">
        <v>6</v>
      </c>
      <c r="S121" s="37">
        <v>45507</v>
      </c>
      <c r="T121" s="42">
        <v>2069526</v>
      </c>
      <c r="U121" s="40">
        <v>2069526</v>
      </c>
      <c r="V121" s="47">
        <v>2069526</v>
      </c>
      <c r="W121" s="28"/>
      <c r="X121" s="29" t="s">
        <v>494</v>
      </c>
      <c r="AA121">
        <v>1</v>
      </c>
      <c r="AB121">
        <v>1</v>
      </c>
      <c r="AC121">
        <v>1</v>
      </c>
    </row>
    <row r="122" spans="1:29" x14ac:dyDescent="0.2">
      <c r="A122" s="36" t="s">
        <v>532</v>
      </c>
      <c r="B122" s="36" t="s">
        <v>30</v>
      </c>
      <c r="C122" s="36" t="s">
        <v>1029</v>
      </c>
      <c r="D122" s="36"/>
      <c r="E122" s="36"/>
      <c r="F122" s="36" t="s">
        <v>31</v>
      </c>
      <c r="G122" s="36" t="s">
        <v>533</v>
      </c>
      <c r="H122" s="36" t="s">
        <v>534</v>
      </c>
      <c r="I122" s="36" t="s">
        <v>68</v>
      </c>
      <c r="J122" s="36" t="s">
        <v>35</v>
      </c>
      <c r="K122" s="36" t="s">
        <v>36</v>
      </c>
      <c r="L122" s="52" t="s">
        <v>95</v>
      </c>
      <c r="M122" s="36" t="s">
        <v>521</v>
      </c>
      <c r="N122" s="36" t="s">
        <v>1030</v>
      </c>
      <c r="O122" s="36" t="s">
        <v>1036</v>
      </c>
      <c r="P122" s="36"/>
      <c r="Q122" s="36" t="s">
        <v>39</v>
      </c>
      <c r="R122" s="36" t="s">
        <v>6</v>
      </c>
      <c r="S122" s="37">
        <v>45508</v>
      </c>
      <c r="T122" s="42">
        <v>2205511.41</v>
      </c>
      <c r="U122" s="40">
        <v>2205511.41</v>
      </c>
      <c r="V122" s="47">
        <v>2205511.41</v>
      </c>
      <c r="W122" s="28"/>
      <c r="X122" s="29" t="s">
        <v>494</v>
      </c>
      <c r="AA122">
        <v>1</v>
      </c>
      <c r="AB122">
        <v>1</v>
      </c>
      <c r="AC122">
        <v>1</v>
      </c>
    </row>
    <row r="123" spans="1:29" x14ac:dyDescent="0.2">
      <c r="A123" s="36" t="s">
        <v>535</v>
      </c>
      <c r="B123" s="36" t="s">
        <v>30</v>
      </c>
      <c r="C123" s="36" t="s">
        <v>1029</v>
      </c>
      <c r="D123" s="36"/>
      <c r="E123" s="36"/>
      <c r="F123" s="36" t="s">
        <v>31</v>
      </c>
      <c r="G123" s="36" t="s">
        <v>536</v>
      </c>
      <c r="H123" s="36" t="s">
        <v>537</v>
      </c>
      <c r="I123" s="36" t="s">
        <v>538</v>
      </c>
      <c r="J123" s="36" t="s">
        <v>35</v>
      </c>
      <c r="K123" s="36" t="s">
        <v>36</v>
      </c>
      <c r="L123" s="52" t="s">
        <v>95</v>
      </c>
      <c r="M123" s="36" t="s">
        <v>521</v>
      </c>
      <c r="N123" s="36" t="s">
        <v>1030</v>
      </c>
      <c r="O123" s="36" t="s">
        <v>1036</v>
      </c>
      <c r="P123" s="36"/>
      <c r="Q123" s="36" t="s">
        <v>39</v>
      </c>
      <c r="R123" s="36" t="s">
        <v>6</v>
      </c>
      <c r="S123" s="37">
        <v>45509</v>
      </c>
      <c r="T123" s="42">
        <v>2535952.85</v>
      </c>
      <c r="U123" s="40">
        <v>2535952.85</v>
      </c>
      <c r="V123" s="47">
        <v>2535952.85</v>
      </c>
      <c r="W123" s="28"/>
      <c r="X123" s="29" t="s">
        <v>494</v>
      </c>
      <c r="AA123">
        <v>1</v>
      </c>
      <c r="AB123">
        <v>1</v>
      </c>
      <c r="AC123">
        <v>1</v>
      </c>
    </row>
    <row r="124" spans="1:29" x14ac:dyDescent="0.2">
      <c r="A124" s="36" t="s">
        <v>539</v>
      </c>
      <c r="B124" s="36" t="s">
        <v>30</v>
      </c>
      <c r="C124" s="36" t="s">
        <v>1029</v>
      </c>
      <c r="D124" s="36"/>
      <c r="E124" s="36"/>
      <c r="F124" s="36" t="s">
        <v>31</v>
      </c>
      <c r="G124" s="36" t="s">
        <v>540</v>
      </c>
      <c r="H124" s="36" t="s">
        <v>541</v>
      </c>
      <c r="I124" s="36" t="s">
        <v>68</v>
      </c>
      <c r="J124" s="36" t="s">
        <v>35</v>
      </c>
      <c r="K124" s="36" t="s">
        <v>36</v>
      </c>
      <c r="L124" s="52" t="s">
        <v>95</v>
      </c>
      <c r="M124" s="36" t="s">
        <v>521</v>
      </c>
      <c r="N124" s="36" t="s">
        <v>1030</v>
      </c>
      <c r="O124" s="36" t="s">
        <v>1036</v>
      </c>
      <c r="P124" s="36"/>
      <c r="Q124" s="36" t="s">
        <v>39</v>
      </c>
      <c r="R124" s="36" t="s">
        <v>6</v>
      </c>
      <c r="S124" s="37">
        <v>45510</v>
      </c>
      <c r="T124" s="42">
        <v>2588699.81</v>
      </c>
      <c r="U124" s="40">
        <v>2588699.81</v>
      </c>
      <c r="V124" s="47">
        <v>2588699.81</v>
      </c>
      <c r="W124" s="28"/>
      <c r="X124" s="29" t="s">
        <v>494</v>
      </c>
      <c r="AA124">
        <v>1</v>
      </c>
      <c r="AB124">
        <v>1</v>
      </c>
      <c r="AC124">
        <v>1</v>
      </c>
    </row>
    <row r="125" spans="1:29" x14ac:dyDescent="0.2">
      <c r="A125" s="36" t="s">
        <v>542</v>
      </c>
      <c r="B125" s="36" t="s">
        <v>30</v>
      </c>
      <c r="C125" s="36" t="s">
        <v>1029</v>
      </c>
      <c r="D125" s="36"/>
      <c r="E125" s="36"/>
      <c r="F125" s="36" t="s">
        <v>31</v>
      </c>
      <c r="G125" s="36" t="s">
        <v>543</v>
      </c>
      <c r="H125" s="36" t="s">
        <v>544</v>
      </c>
      <c r="I125" s="36" t="s">
        <v>545</v>
      </c>
      <c r="J125" s="36" t="s">
        <v>35</v>
      </c>
      <c r="K125" s="36" t="s">
        <v>36</v>
      </c>
      <c r="L125" s="52" t="s">
        <v>95</v>
      </c>
      <c r="M125" s="36" t="s">
        <v>521</v>
      </c>
      <c r="N125" s="36" t="s">
        <v>1030</v>
      </c>
      <c r="O125" s="36" t="s">
        <v>1036</v>
      </c>
      <c r="P125" s="36"/>
      <c r="Q125" s="36" t="s">
        <v>39</v>
      </c>
      <c r="R125" s="36" t="s">
        <v>6</v>
      </c>
      <c r="S125" s="37">
        <v>45511</v>
      </c>
      <c r="T125" s="42">
        <v>228508.82</v>
      </c>
      <c r="U125" s="40">
        <v>228508.82</v>
      </c>
      <c r="V125" s="47">
        <v>228508.82</v>
      </c>
      <c r="W125" s="28"/>
      <c r="X125" s="29" t="s">
        <v>494</v>
      </c>
      <c r="AA125">
        <v>1</v>
      </c>
      <c r="AB125">
        <v>1</v>
      </c>
      <c r="AC125">
        <v>1</v>
      </c>
    </row>
    <row r="126" spans="1:29" x14ac:dyDescent="0.2">
      <c r="A126" s="36" t="s">
        <v>546</v>
      </c>
      <c r="B126" s="36" t="s">
        <v>30</v>
      </c>
      <c r="C126" s="36" t="s">
        <v>1029</v>
      </c>
      <c r="D126" s="36"/>
      <c r="E126" s="36"/>
      <c r="F126" s="36" t="s">
        <v>31</v>
      </c>
      <c r="G126" s="36" t="s">
        <v>547</v>
      </c>
      <c r="H126" s="36" t="s">
        <v>548</v>
      </c>
      <c r="I126" s="36" t="s">
        <v>538</v>
      </c>
      <c r="J126" s="36" t="s">
        <v>35</v>
      </c>
      <c r="K126" s="36" t="s">
        <v>36</v>
      </c>
      <c r="L126" s="52" t="s">
        <v>101</v>
      </c>
      <c r="M126" s="36" t="s">
        <v>262</v>
      </c>
      <c r="N126" s="36" t="s">
        <v>1032</v>
      </c>
      <c r="O126" s="36"/>
      <c r="P126" s="36"/>
      <c r="Q126" s="36" t="s">
        <v>491</v>
      </c>
      <c r="R126" s="36" t="s">
        <v>6</v>
      </c>
      <c r="S126" s="37">
        <v>45565</v>
      </c>
      <c r="T126" s="42">
        <v>4796509.53</v>
      </c>
      <c r="U126" s="40">
        <v>4796509.53</v>
      </c>
      <c r="V126" s="47">
        <v>4796509.53</v>
      </c>
      <c r="W126" s="28"/>
      <c r="X126" s="29" t="s">
        <v>494</v>
      </c>
      <c r="AA126" s="78">
        <v>1</v>
      </c>
      <c r="AB126" s="78">
        <v>3</v>
      </c>
      <c r="AC126" s="78">
        <v>3</v>
      </c>
    </row>
    <row r="127" spans="1:29" x14ac:dyDescent="0.2">
      <c r="A127" s="36" t="s">
        <v>549</v>
      </c>
      <c r="B127" s="36" t="s">
        <v>30</v>
      </c>
      <c r="C127" s="36" t="s">
        <v>1037</v>
      </c>
      <c r="D127" s="36" t="s">
        <v>762</v>
      </c>
      <c r="E127" s="36"/>
      <c r="F127" s="36" t="s">
        <v>31</v>
      </c>
      <c r="G127" s="36" t="s">
        <v>550</v>
      </c>
      <c r="H127" s="36" t="s">
        <v>551</v>
      </c>
      <c r="I127" s="36" t="s">
        <v>552</v>
      </c>
      <c r="J127" s="36" t="s">
        <v>35</v>
      </c>
      <c r="K127" s="36" t="s">
        <v>36</v>
      </c>
      <c r="L127" s="52" t="s">
        <v>101</v>
      </c>
      <c r="M127" s="36" t="s">
        <v>553</v>
      </c>
      <c r="N127" s="36" t="s">
        <v>1030</v>
      </c>
      <c r="O127" s="36" t="s">
        <v>1038</v>
      </c>
      <c r="P127" s="36"/>
      <c r="Q127" s="36" t="s">
        <v>39</v>
      </c>
      <c r="R127" s="36" t="s">
        <v>6</v>
      </c>
      <c r="S127" s="37">
        <v>45503</v>
      </c>
      <c r="T127" s="42">
        <v>9788711.0399999991</v>
      </c>
      <c r="U127" s="40">
        <v>9788711.0399999991</v>
      </c>
      <c r="V127" s="47">
        <v>9788711.0399999991</v>
      </c>
      <c r="W127" s="28"/>
      <c r="X127" s="29" t="s">
        <v>494</v>
      </c>
      <c r="AA127">
        <v>2</v>
      </c>
      <c r="AB127">
        <v>1</v>
      </c>
      <c r="AC127">
        <v>2</v>
      </c>
    </row>
    <row r="128" spans="1:29" x14ac:dyDescent="0.2">
      <c r="A128" s="36" t="s">
        <v>554</v>
      </c>
      <c r="B128" s="36" t="s">
        <v>30</v>
      </c>
      <c r="C128" s="36" t="s">
        <v>1037</v>
      </c>
      <c r="D128" s="31" t="s">
        <v>762</v>
      </c>
      <c r="E128" s="36"/>
      <c r="F128" s="36" t="s">
        <v>31</v>
      </c>
      <c r="G128" s="36" t="s">
        <v>555</v>
      </c>
      <c r="H128" s="36" t="s">
        <v>447</v>
      </c>
      <c r="I128" s="36" t="s">
        <v>56</v>
      </c>
      <c r="J128" s="36" t="s">
        <v>56</v>
      </c>
      <c r="K128" s="36" t="s">
        <v>36</v>
      </c>
      <c r="L128" s="52" t="s">
        <v>101</v>
      </c>
      <c r="M128" s="36" t="s">
        <v>553</v>
      </c>
      <c r="N128" s="36" t="s">
        <v>1030</v>
      </c>
      <c r="O128" s="36" t="s">
        <v>1038</v>
      </c>
      <c r="P128" s="36"/>
      <c r="Q128" s="36" t="s">
        <v>39</v>
      </c>
      <c r="R128" s="36" t="s">
        <v>6</v>
      </c>
      <c r="S128" s="37">
        <v>45503</v>
      </c>
      <c r="T128" s="42">
        <v>4004274</v>
      </c>
      <c r="U128" s="40">
        <v>4004274</v>
      </c>
      <c r="V128" s="47">
        <v>4004274</v>
      </c>
      <c r="W128" s="28"/>
      <c r="X128" s="29" t="s">
        <v>494</v>
      </c>
      <c r="AA128">
        <v>2</v>
      </c>
      <c r="AB128">
        <v>1</v>
      </c>
      <c r="AC128">
        <v>2</v>
      </c>
    </row>
    <row r="129" spans="1:29" x14ac:dyDescent="0.2">
      <c r="A129" s="36" t="s">
        <v>556</v>
      </c>
      <c r="B129" s="36" t="s">
        <v>30</v>
      </c>
      <c r="C129" s="36" t="s">
        <v>1029</v>
      </c>
      <c r="D129" s="36"/>
      <c r="E129" s="36"/>
      <c r="F129" s="36" t="s">
        <v>31</v>
      </c>
      <c r="G129" s="36" t="s">
        <v>557</v>
      </c>
      <c r="H129" s="36" t="s">
        <v>558</v>
      </c>
      <c r="I129" s="36" t="s">
        <v>559</v>
      </c>
      <c r="J129" s="36" t="s">
        <v>35</v>
      </c>
      <c r="K129" s="36" t="s">
        <v>36</v>
      </c>
      <c r="L129" s="52" t="s">
        <v>95</v>
      </c>
      <c r="M129" s="36" t="s">
        <v>262</v>
      </c>
      <c r="N129" s="36" t="s">
        <v>1032</v>
      </c>
      <c r="O129" s="36"/>
      <c r="P129" s="36"/>
      <c r="Q129" s="36" t="s">
        <v>39</v>
      </c>
      <c r="R129" s="36" t="s">
        <v>6</v>
      </c>
      <c r="S129" s="37">
        <v>45565</v>
      </c>
      <c r="T129" s="42">
        <v>254932.77</v>
      </c>
      <c r="U129" s="40">
        <v>254932.77</v>
      </c>
      <c r="V129" s="47">
        <v>254932.77</v>
      </c>
      <c r="W129" s="28"/>
      <c r="X129" s="29" t="s">
        <v>494</v>
      </c>
      <c r="AA129" s="78">
        <v>1</v>
      </c>
      <c r="AB129" s="78">
        <v>4</v>
      </c>
      <c r="AC129" s="78">
        <v>4</v>
      </c>
    </row>
    <row r="130" spans="1:29" x14ac:dyDescent="0.2">
      <c r="A130" s="36" t="s">
        <v>560</v>
      </c>
      <c r="B130" s="36" t="s">
        <v>30</v>
      </c>
      <c r="C130" s="36" t="s">
        <v>1029</v>
      </c>
      <c r="D130" s="36"/>
      <c r="E130" s="36"/>
      <c r="F130" s="36" t="s">
        <v>31</v>
      </c>
      <c r="G130" s="36" t="s">
        <v>561</v>
      </c>
      <c r="H130" s="36" t="s">
        <v>99</v>
      </c>
      <c r="I130" s="36" t="s">
        <v>100</v>
      </c>
      <c r="J130" s="36" t="s">
        <v>35</v>
      </c>
      <c r="K130" s="36" t="s">
        <v>36</v>
      </c>
      <c r="L130" s="52" t="s">
        <v>37</v>
      </c>
      <c r="M130" s="36" t="s">
        <v>262</v>
      </c>
      <c r="N130" s="36" t="s">
        <v>1032</v>
      </c>
      <c r="O130" s="36"/>
      <c r="P130" s="36"/>
      <c r="Q130" s="36" t="s">
        <v>39</v>
      </c>
      <c r="R130" s="36" t="s">
        <v>6</v>
      </c>
      <c r="S130" s="37">
        <v>45565</v>
      </c>
      <c r="T130" s="42">
        <v>245951</v>
      </c>
      <c r="U130" s="40">
        <v>245951</v>
      </c>
      <c r="V130" s="47">
        <v>245951</v>
      </c>
      <c r="W130" s="28"/>
      <c r="X130" s="29" t="s">
        <v>494</v>
      </c>
      <c r="AA130" s="78">
        <v>4</v>
      </c>
      <c r="AB130" s="78">
        <v>1</v>
      </c>
      <c r="AC130" s="78">
        <v>4</v>
      </c>
    </row>
    <row r="131" spans="1:29" x14ac:dyDescent="0.2">
      <c r="A131" s="36" t="s">
        <v>562</v>
      </c>
      <c r="B131" s="36" t="s">
        <v>30</v>
      </c>
      <c r="C131" s="36" t="s">
        <v>1029</v>
      </c>
      <c r="D131" s="36"/>
      <c r="E131" s="36"/>
      <c r="F131" s="36" t="s">
        <v>31</v>
      </c>
      <c r="G131" s="36" t="s">
        <v>563</v>
      </c>
      <c r="H131" s="36" t="s">
        <v>564</v>
      </c>
      <c r="I131" s="36" t="s">
        <v>100</v>
      </c>
      <c r="J131" s="36" t="s">
        <v>35</v>
      </c>
      <c r="K131" s="36" t="s">
        <v>36</v>
      </c>
      <c r="L131" s="36" t="s">
        <v>101</v>
      </c>
      <c r="M131" s="36" t="s">
        <v>262</v>
      </c>
      <c r="N131" s="36" t="s">
        <v>1032</v>
      </c>
      <c r="O131" s="36"/>
      <c r="P131" s="36"/>
      <c r="Q131" s="36" t="s">
        <v>39</v>
      </c>
      <c r="R131" s="36" t="s">
        <v>6</v>
      </c>
      <c r="S131" s="37">
        <v>45565</v>
      </c>
      <c r="T131" s="42">
        <v>5200000</v>
      </c>
      <c r="U131" s="40">
        <v>4800000</v>
      </c>
      <c r="V131" s="47">
        <v>5200000</v>
      </c>
      <c r="W131" s="28"/>
      <c r="X131" s="29" t="s">
        <v>494</v>
      </c>
      <c r="AA131" s="78">
        <v>1</v>
      </c>
      <c r="AB131" s="78">
        <v>4</v>
      </c>
      <c r="AC131" s="78">
        <v>4</v>
      </c>
    </row>
    <row r="132" spans="1:29" x14ac:dyDescent="0.2">
      <c r="A132" s="36" t="s">
        <v>565</v>
      </c>
      <c r="B132" s="36" t="s">
        <v>30</v>
      </c>
      <c r="C132" s="36" t="s">
        <v>1037</v>
      </c>
      <c r="D132" s="36" t="s">
        <v>1039</v>
      </c>
      <c r="E132" s="36"/>
      <c r="F132" s="36" t="s">
        <v>31</v>
      </c>
      <c r="G132" s="36" t="s">
        <v>566</v>
      </c>
      <c r="H132" s="36" t="s">
        <v>567</v>
      </c>
      <c r="I132" s="36" t="s">
        <v>55</v>
      </c>
      <c r="J132" s="36" t="s">
        <v>56</v>
      </c>
      <c r="K132" s="36" t="s">
        <v>36</v>
      </c>
      <c r="L132" s="36" t="s">
        <v>101</v>
      </c>
      <c r="M132" s="36" t="s">
        <v>262</v>
      </c>
      <c r="N132" s="36" t="s">
        <v>1032</v>
      </c>
      <c r="O132" s="36"/>
      <c r="P132" s="36"/>
      <c r="Q132" s="36" t="s">
        <v>134</v>
      </c>
      <c r="R132" s="36" t="s">
        <v>6</v>
      </c>
      <c r="S132" s="37">
        <v>45572</v>
      </c>
      <c r="T132" s="42">
        <v>505100</v>
      </c>
      <c r="U132" s="40">
        <v>505100</v>
      </c>
      <c r="V132" s="47">
        <v>505100</v>
      </c>
      <c r="W132" s="28"/>
      <c r="X132" s="29" t="s">
        <v>494</v>
      </c>
      <c r="AA132" s="78">
        <v>1</v>
      </c>
      <c r="AB132" s="78">
        <v>1</v>
      </c>
      <c r="AC132" s="78">
        <v>4</v>
      </c>
    </row>
    <row r="133" spans="1:29" x14ac:dyDescent="0.2">
      <c r="A133" s="36" t="s">
        <v>568</v>
      </c>
      <c r="B133" s="36" t="s">
        <v>30</v>
      </c>
      <c r="C133" s="36" t="s">
        <v>1029</v>
      </c>
      <c r="D133" s="36"/>
      <c r="E133" s="36"/>
      <c r="F133" s="36" t="s">
        <v>31</v>
      </c>
      <c r="G133" s="36" t="s">
        <v>569</v>
      </c>
      <c r="H133" s="36" t="s">
        <v>99</v>
      </c>
      <c r="I133" s="36" t="s">
        <v>100</v>
      </c>
      <c r="J133" s="36" t="s">
        <v>35</v>
      </c>
      <c r="K133" s="36" t="s">
        <v>36</v>
      </c>
      <c r="L133" s="36" t="s">
        <v>37</v>
      </c>
      <c r="M133" s="36" t="s">
        <v>262</v>
      </c>
      <c r="N133" s="36" t="s">
        <v>1032</v>
      </c>
      <c r="O133" s="36"/>
      <c r="P133" s="36"/>
      <c r="Q133" s="36" t="s">
        <v>491</v>
      </c>
      <c r="R133" s="36" t="s">
        <v>5</v>
      </c>
      <c r="S133" s="37">
        <v>45565</v>
      </c>
      <c r="T133" s="42">
        <v>98900</v>
      </c>
      <c r="U133" s="40">
        <v>98900</v>
      </c>
      <c r="V133" s="47">
        <v>98900</v>
      </c>
      <c r="W133" s="28"/>
      <c r="X133" s="29" t="s">
        <v>494</v>
      </c>
      <c r="AA133" s="78">
        <v>4</v>
      </c>
      <c r="AB133" s="78">
        <v>4</v>
      </c>
      <c r="AC133" s="78">
        <v>1</v>
      </c>
    </row>
    <row r="134" spans="1:29" hidden="1" x14ac:dyDescent="0.2">
      <c r="A134" s="29" t="s">
        <v>570</v>
      </c>
      <c r="B134" s="31" t="s">
        <v>571</v>
      </c>
      <c r="C134" s="31" t="s">
        <v>1040</v>
      </c>
      <c r="E134" s="31" t="s">
        <v>1041</v>
      </c>
      <c r="F134" s="36" t="s">
        <v>31</v>
      </c>
      <c r="G134" s="92" t="s">
        <v>572</v>
      </c>
      <c r="H134" s="70" t="s">
        <v>61</v>
      </c>
      <c r="I134" s="29" t="s">
        <v>55</v>
      </c>
      <c r="J134" s="29" t="s">
        <v>56</v>
      </c>
      <c r="K134" s="29" t="s">
        <v>573</v>
      </c>
      <c r="L134" s="56" t="s">
        <v>95</v>
      </c>
      <c r="M134" s="29"/>
      <c r="N134" s="29"/>
      <c r="O134" s="29"/>
      <c r="P134" s="29"/>
      <c r="Q134" s="29"/>
      <c r="R134" s="29" t="s">
        <v>8</v>
      </c>
      <c r="S134" s="63">
        <v>37012</v>
      </c>
      <c r="T134" s="67">
        <v>4284</v>
      </c>
      <c r="U134" s="68">
        <v>4284</v>
      </c>
      <c r="V134" s="69">
        <v>4284</v>
      </c>
      <c r="W134" s="29"/>
      <c r="X134" s="29"/>
    </row>
    <row r="135" spans="1:29" hidden="1" x14ac:dyDescent="0.2">
      <c r="A135" s="29" t="s">
        <v>574</v>
      </c>
      <c r="B135" s="31" t="s">
        <v>571</v>
      </c>
      <c r="C135" s="31" t="s">
        <v>1040</v>
      </c>
      <c r="E135" s="31" t="s">
        <v>1042</v>
      </c>
      <c r="F135" s="36" t="s">
        <v>31</v>
      </c>
      <c r="G135" s="92" t="s">
        <v>575</v>
      </c>
      <c r="H135" s="70" t="s">
        <v>548</v>
      </c>
      <c r="I135" s="29" t="s">
        <v>538</v>
      </c>
      <c r="J135" s="29" t="s">
        <v>35</v>
      </c>
      <c r="K135" s="29" t="s">
        <v>576</v>
      </c>
      <c r="L135" s="56" t="s">
        <v>101</v>
      </c>
      <c r="M135" s="31" t="s">
        <v>577</v>
      </c>
      <c r="N135" s="31"/>
      <c r="O135" s="31"/>
      <c r="P135" s="31"/>
      <c r="Q135" s="29"/>
      <c r="R135" s="29" t="s">
        <v>8</v>
      </c>
      <c r="S135" s="63">
        <v>36404</v>
      </c>
      <c r="T135" s="67">
        <v>167436</v>
      </c>
      <c r="U135" s="68">
        <v>167436</v>
      </c>
      <c r="V135" s="69">
        <v>167436</v>
      </c>
      <c r="W135" s="28" t="s">
        <v>578</v>
      </c>
      <c r="X135" s="29"/>
    </row>
    <row r="136" spans="1:29" hidden="1" x14ac:dyDescent="0.2">
      <c r="A136" s="29" t="s">
        <v>579</v>
      </c>
      <c r="B136" s="31" t="s">
        <v>571</v>
      </c>
      <c r="C136" s="31" t="s">
        <v>1040</v>
      </c>
      <c r="E136" s="31" t="s">
        <v>1042</v>
      </c>
      <c r="F136" s="36" t="s">
        <v>31</v>
      </c>
      <c r="G136" s="92" t="s">
        <v>580</v>
      </c>
      <c r="H136" s="70" t="s">
        <v>61</v>
      </c>
      <c r="I136" s="29" t="s">
        <v>55</v>
      </c>
      <c r="J136" s="29" t="s">
        <v>56</v>
      </c>
      <c r="K136" s="29" t="s">
        <v>581</v>
      </c>
      <c r="L136" s="56" t="s">
        <v>582</v>
      </c>
      <c r="M136" s="31" t="s">
        <v>583</v>
      </c>
      <c r="N136" s="31"/>
      <c r="O136" s="31"/>
      <c r="P136" s="31"/>
      <c r="Q136" s="29"/>
      <c r="R136" s="29" t="s">
        <v>8</v>
      </c>
      <c r="S136" s="63">
        <v>37834</v>
      </c>
      <c r="T136" s="67">
        <v>137210</v>
      </c>
      <c r="U136" s="68">
        <v>137210</v>
      </c>
      <c r="V136" s="69">
        <v>137210</v>
      </c>
      <c r="W136" s="28" t="s">
        <v>584</v>
      </c>
      <c r="X136" s="29"/>
    </row>
    <row r="137" spans="1:29" hidden="1" x14ac:dyDescent="0.2">
      <c r="A137" s="29" t="s">
        <v>585</v>
      </c>
      <c r="B137" s="31" t="s">
        <v>571</v>
      </c>
      <c r="C137" s="31" t="s">
        <v>1040</v>
      </c>
      <c r="E137" s="31" t="s">
        <v>1042</v>
      </c>
      <c r="F137" s="36" t="s">
        <v>31</v>
      </c>
      <c r="G137" s="92" t="s">
        <v>586</v>
      </c>
      <c r="H137" s="70" t="s">
        <v>587</v>
      </c>
      <c r="I137" s="29" t="s">
        <v>55</v>
      </c>
      <c r="J137" s="29" t="s">
        <v>56</v>
      </c>
      <c r="K137" s="29" t="s">
        <v>581</v>
      </c>
      <c r="L137" s="56" t="s">
        <v>95</v>
      </c>
      <c r="M137" s="31" t="s">
        <v>583</v>
      </c>
      <c r="N137" s="31"/>
      <c r="O137" s="31"/>
      <c r="P137" s="31"/>
      <c r="Q137" s="29"/>
      <c r="R137" s="29" t="s">
        <v>8</v>
      </c>
      <c r="S137" s="63">
        <v>38047</v>
      </c>
      <c r="T137" s="67">
        <v>238221</v>
      </c>
      <c r="U137" s="68">
        <v>254721</v>
      </c>
      <c r="V137" s="69">
        <v>254721</v>
      </c>
      <c r="W137" s="28" t="s">
        <v>588</v>
      </c>
      <c r="X137" s="29"/>
    </row>
    <row r="138" spans="1:29" hidden="1" x14ac:dyDescent="0.2">
      <c r="A138" s="29" t="s">
        <v>589</v>
      </c>
      <c r="B138" s="31" t="s">
        <v>571</v>
      </c>
      <c r="C138" s="31" t="s">
        <v>1040</v>
      </c>
      <c r="E138" s="31" t="s">
        <v>1042</v>
      </c>
      <c r="F138" s="36" t="s">
        <v>31</v>
      </c>
      <c r="G138" s="92" t="s">
        <v>590</v>
      </c>
      <c r="H138" s="70" t="s">
        <v>591</v>
      </c>
      <c r="I138" s="29" t="s">
        <v>55</v>
      </c>
      <c r="J138" s="29" t="s">
        <v>56</v>
      </c>
      <c r="K138" s="29" t="s">
        <v>581</v>
      </c>
      <c r="L138" s="56" t="s">
        <v>95</v>
      </c>
      <c r="M138" s="31" t="s">
        <v>592</v>
      </c>
      <c r="N138" s="31"/>
      <c r="O138" s="31"/>
      <c r="P138" s="31"/>
      <c r="Q138" s="29"/>
      <c r="R138" s="29" t="s">
        <v>8</v>
      </c>
      <c r="S138" s="63">
        <v>38718</v>
      </c>
      <c r="T138" s="67">
        <v>274957</v>
      </c>
      <c r="U138" s="68">
        <v>274957</v>
      </c>
      <c r="V138" s="69">
        <v>274957</v>
      </c>
      <c r="W138" s="28" t="s">
        <v>593</v>
      </c>
      <c r="X138" s="29"/>
    </row>
    <row r="139" spans="1:29" hidden="1" x14ac:dyDescent="0.2">
      <c r="A139" s="29" t="s">
        <v>594</v>
      </c>
      <c r="B139" s="31" t="s">
        <v>571</v>
      </c>
      <c r="C139" s="31" t="s">
        <v>1040</v>
      </c>
      <c r="E139" s="31" t="s">
        <v>1042</v>
      </c>
      <c r="F139" s="36" t="s">
        <v>31</v>
      </c>
      <c r="G139" s="92" t="s">
        <v>595</v>
      </c>
      <c r="H139" s="70" t="s">
        <v>61</v>
      </c>
      <c r="I139" s="29" t="s">
        <v>55</v>
      </c>
      <c r="J139" s="29" t="s">
        <v>56</v>
      </c>
      <c r="K139" s="31" t="s">
        <v>581</v>
      </c>
      <c r="L139" s="56" t="s">
        <v>582</v>
      </c>
      <c r="M139" s="31" t="s">
        <v>596</v>
      </c>
      <c r="N139" s="31"/>
      <c r="O139" s="31"/>
      <c r="P139" s="31"/>
      <c r="Q139" s="29"/>
      <c r="R139" s="29" t="s">
        <v>8</v>
      </c>
      <c r="S139" s="63">
        <v>38504</v>
      </c>
      <c r="T139" s="67">
        <v>164101</v>
      </c>
      <c r="U139" s="68">
        <v>164101</v>
      </c>
      <c r="V139" s="69">
        <v>164101</v>
      </c>
      <c r="W139" s="28" t="s">
        <v>597</v>
      </c>
      <c r="X139" s="29"/>
    </row>
    <row r="140" spans="1:29" hidden="1" x14ac:dyDescent="0.2">
      <c r="A140" s="29" t="s">
        <v>598</v>
      </c>
      <c r="B140" s="31" t="s">
        <v>571</v>
      </c>
      <c r="C140" s="31" t="s">
        <v>1040</v>
      </c>
      <c r="E140" s="31" t="s">
        <v>646</v>
      </c>
      <c r="F140" s="36" t="s">
        <v>31</v>
      </c>
      <c r="G140" s="92" t="s">
        <v>599</v>
      </c>
      <c r="H140" s="70" t="s">
        <v>600</v>
      </c>
      <c r="I140" s="29" t="s">
        <v>307</v>
      </c>
      <c r="J140" s="29" t="s">
        <v>133</v>
      </c>
      <c r="K140" s="31" t="s">
        <v>581</v>
      </c>
      <c r="L140" s="56" t="s">
        <v>582</v>
      </c>
      <c r="M140" s="31" t="s">
        <v>601</v>
      </c>
      <c r="N140" s="31"/>
      <c r="O140" s="31"/>
      <c r="P140" s="31"/>
      <c r="Q140" s="29"/>
      <c r="R140" s="29" t="s">
        <v>8</v>
      </c>
      <c r="S140" s="63">
        <v>38626</v>
      </c>
      <c r="T140" s="67">
        <v>4323279</v>
      </c>
      <c r="U140" s="68">
        <v>14169781</v>
      </c>
      <c r="V140" s="69">
        <v>14169781</v>
      </c>
      <c r="W140" s="28" t="s">
        <v>602</v>
      </c>
      <c r="X140" s="29"/>
    </row>
    <row r="141" spans="1:29" hidden="1" x14ac:dyDescent="0.2">
      <c r="A141" s="29" t="s">
        <v>603</v>
      </c>
      <c r="B141" s="31" t="s">
        <v>571</v>
      </c>
      <c r="C141" s="31" t="s">
        <v>1040</v>
      </c>
      <c r="E141" s="31" t="s">
        <v>1042</v>
      </c>
      <c r="F141" s="36" t="s">
        <v>31</v>
      </c>
      <c r="G141" s="92" t="s">
        <v>604</v>
      </c>
      <c r="H141" s="70" t="s">
        <v>591</v>
      </c>
      <c r="I141" s="29" t="s">
        <v>55</v>
      </c>
      <c r="J141" s="29" t="s">
        <v>56</v>
      </c>
      <c r="K141" s="31" t="s">
        <v>605</v>
      </c>
      <c r="L141" s="56" t="s">
        <v>582</v>
      </c>
      <c r="M141" s="31" t="s">
        <v>583</v>
      </c>
      <c r="N141" s="31"/>
      <c r="O141" s="31"/>
      <c r="P141" s="31"/>
      <c r="Q141" s="29"/>
      <c r="R141" s="29" t="s">
        <v>8</v>
      </c>
      <c r="S141" s="63">
        <v>40452</v>
      </c>
      <c r="T141" s="67">
        <v>522515</v>
      </c>
      <c r="U141" s="68">
        <v>522215</v>
      </c>
      <c r="V141" s="69">
        <v>522215</v>
      </c>
      <c r="W141" s="28" t="s">
        <v>606</v>
      </c>
      <c r="X141" s="29"/>
    </row>
    <row r="142" spans="1:29" hidden="1" x14ac:dyDescent="0.2">
      <c r="A142" s="29" t="s">
        <v>607</v>
      </c>
      <c r="B142" s="31" t="s">
        <v>571</v>
      </c>
      <c r="C142" s="31" t="s">
        <v>1040</v>
      </c>
      <c r="E142" s="31" t="s">
        <v>1043</v>
      </c>
      <c r="F142" s="36" t="s">
        <v>31</v>
      </c>
      <c r="G142" s="92" t="s">
        <v>608</v>
      </c>
      <c r="H142" s="70" t="s">
        <v>61</v>
      </c>
      <c r="I142" s="29" t="s">
        <v>55</v>
      </c>
      <c r="J142" s="29" t="s">
        <v>56</v>
      </c>
      <c r="K142" s="29" t="s">
        <v>609</v>
      </c>
      <c r="L142" s="56" t="s">
        <v>582</v>
      </c>
      <c r="M142" s="31" t="s">
        <v>610</v>
      </c>
      <c r="N142" s="31"/>
      <c r="O142" s="31"/>
      <c r="P142" s="31"/>
      <c r="Q142" s="31" t="s">
        <v>611</v>
      </c>
      <c r="R142" s="29" t="s">
        <v>8</v>
      </c>
      <c r="S142" s="63">
        <v>39264</v>
      </c>
      <c r="T142" s="67">
        <v>3416292</v>
      </c>
      <c r="U142" s="68">
        <v>3416292</v>
      </c>
      <c r="V142" s="69">
        <v>3416292</v>
      </c>
      <c r="W142" s="28" t="s">
        <v>612</v>
      </c>
      <c r="X142" s="29"/>
    </row>
    <row r="143" spans="1:29" hidden="1" x14ac:dyDescent="0.2">
      <c r="A143" s="29" t="s">
        <v>613</v>
      </c>
      <c r="B143" s="31" t="s">
        <v>571</v>
      </c>
      <c r="C143" s="31" t="s">
        <v>1040</v>
      </c>
      <c r="E143" s="31" t="s">
        <v>1041</v>
      </c>
      <c r="F143" s="36" t="s">
        <v>31</v>
      </c>
      <c r="G143" s="92" t="s">
        <v>614</v>
      </c>
      <c r="H143" s="70" t="s">
        <v>61</v>
      </c>
      <c r="I143" s="29" t="s">
        <v>55</v>
      </c>
      <c r="J143" s="29" t="s">
        <v>56</v>
      </c>
      <c r="K143" s="29" t="s">
        <v>573</v>
      </c>
      <c r="L143" s="56" t="s">
        <v>95</v>
      </c>
      <c r="M143" s="31" t="s">
        <v>615</v>
      </c>
      <c r="N143" s="31"/>
      <c r="O143" s="31"/>
      <c r="P143" s="31"/>
      <c r="Q143" s="31" t="s">
        <v>616</v>
      </c>
      <c r="R143" s="29" t="s">
        <v>8</v>
      </c>
      <c r="S143" s="63">
        <v>39052</v>
      </c>
      <c r="T143" s="67">
        <v>1148138</v>
      </c>
      <c r="U143" s="68">
        <v>1148138</v>
      </c>
      <c r="V143" s="69">
        <v>1148138</v>
      </c>
      <c r="W143" s="28" t="s">
        <v>617</v>
      </c>
      <c r="X143" s="29"/>
    </row>
    <row r="144" spans="1:29" hidden="1" x14ac:dyDescent="0.2">
      <c r="A144" s="29" t="s">
        <v>618</v>
      </c>
      <c r="B144" s="31" t="s">
        <v>571</v>
      </c>
      <c r="C144" s="31" t="s">
        <v>1040</v>
      </c>
      <c r="E144" s="31" t="s">
        <v>1042</v>
      </c>
      <c r="F144" s="36" t="s">
        <v>31</v>
      </c>
      <c r="G144" s="92" t="s">
        <v>619</v>
      </c>
      <c r="H144" s="70" t="s">
        <v>591</v>
      </c>
      <c r="I144" s="29" t="s">
        <v>55</v>
      </c>
      <c r="J144" s="29" t="s">
        <v>56</v>
      </c>
      <c r="K144" s="29" t="s">
        <v>581</v>
      </c>
      <c r="L144" s="56" t="s">
        <v>582</v>
      </c>
      <c r="M144" s="31" t="s">
        <v>583</v>
      </c>
      <c r="N144" s="31"/>
      <c r="O144" s="31"/>
      <c r="P144" s="31"/>
      <c r="Q144" s="29"/>
      <c r="R144" s="29" t="s">
        <v>8</v>
      </c>
      <c r="S144" s="63">
        <v>39295</v>
      </c>
      <c r="T144" s="67">
        <v>822394</v>
      </c>
      <c r="U144" s="68">
        <v>848347</v>
      </c>
      <c r="V144" s="69">
        <v>848347</v>
      </c>
      <c r="W144" s="28" t="s">
        <v>620</v>
      </c>
      <c r="X144" s="29"/>
    </row>
    <row r="145" spans="1:24" hidden="1" x14ac:dyDescent="0.2">
      <c r="A145" s="29" t="s">
        <v>621</v>
      </c>
      <c r="B145" s="31" t="s">
        <v>571</v>
      </c>
      <c r="C145" s="31" t="s">
        <v>1040</v>
      </c>
      <c r="E145" s="31" t="s">
        <v>1042</v>
      </c>
      <c r="F145" s="36" t="s">
        <v>31</v>
      </c>
      <c r="G145" s="92" t="s">
        <v>622</v>
      </c>
      <c r="H145" s="70" t="s">
        <v>600</v>
      </c>
      <c r="I145" s="29" t="s">
        <v>55</v>
      </c>
      <c r="J145" s="29" t="s">
        <v>56</v>
      </c>
      <c r="K145" s="29" t="s">
        <v>581</v>
      </c>
      <c r="L145" s="56" t="s">
        <v>582</v>
      </c>
      <c r="M145" s="31" t="s">
        <v>623</v>
      </c>
      <c r="N145" s="31"/>
      <c r="O145" s="31"/>
      <c r="P145" s="31"/>
      <c r="Q145" s="29"/>
      <c r="R145" s="29" t="s">
        <v>8</v>
      </c>
      <c r="S145" s="63">
        <v>41821</v>
      </c>
      <c r="T145" s="67">
        <v>3759745</v>
      </c>
      <c r="U145" s="68">
        <v>11400134</v>
      </c>
      <c r="V145" s="69">
        <v>11400134</v>
      </c>
      <c r="W145" s="28" t="s">
        <v>624</v>
      </c>
      <c r="X145" s="29"/>
    </row>
    <row r="146" spans="1:24" hidden="1" x14ac:dyDescent="0.2">
      <c r="A146" s="29" t="s">
        <v>625</v>
      </c>
      <c r="B146" s="31" t="s">
        <v>571</v>
      </c>
      <c r="C146" s="31" t="s">
        <v>1040</v>
      </c>
      <c r="E146" s="31" t="s">
        <v>1042</v>
      </c>
      <c r="F146" s="36" t="s">
        <v>31</v>
      </c>
      <c r="G146" s="92" t="s">
        <v>626</v>
      </c>
      <c r="H146" s="70" t="s">
        <v>627</v>
      </c>
      <c r="I146" s="29" t="s">
        <v>55</v>
      </c>
      <c r="J146" s="29" t="s">
        <v>56</v>
      </c>
      <c r="K146" s="31" t="s">
        <v>581</v>
      </c>
      <c r="L146" s="56" t="s">
        <v>582</v>
      </c>
      <c r="M146" s="31" t="s">
        <v>592</v>
      </c>
      <c r="N146" s="31"/>
      <c r="O146" s="31"/>
      <c r="P146" s="31"/>
      <c r="Q146" s="29"/>
      <c r="R146" s="29" t="s">
        <v>8</v>
      </c>
      <c r="S146" s="63">
        <v>39814</v>
      </c>
      <c r="T146" s="67">
        <v>629157</v>
      </c>
      <c r="U146" s="68">
        <v>629157</v>
      </c>
      <c r="V146" s="69">
        <v>629157</v>
      </c>
      <c r="W146" s="28" t="s">
        <v>628</v>
      </c>
      <c r="X146" s="29"/>
    </row>
    <row r="147" spans="1:24" hidden="1" x14ac:dyDescent="0.2">
      <c r="A147" s="29" t="s">
        <v>629</v>
      </c>
      <c r="B147" s="31" t="s">
        <v>571</v>
      </c>
      <c r="C147" s="31" t="s">
        <v>1040</v>
      </c>
      <c r="E147" s="31" t="s">
        <v>1042</v>
      </c>
      <c r="F147" s="36" t="s">
        <v>31</v>
      </c>
      <c r="G147" s="92" t="s">
        <v>630</v>
      </c>
      <c r="H147" s="70" t="s">
        <v>631</v>
      </c>
      <c r="I147" s="29" t="s">
        <v>632</v>
      </c>
      <c r="J147" s="29" t="s">
        <v>133</v>
      </c>
      <c r="K147" s="29" t="s">
        <v>581</v>
      </c>
      <c r="L147" s="56" t="s">
        <v>101</v>
      </c>
      <c r="M147" s="31" t="s">
        <v>633</v>
      </c>
      <c r="N147" s="31"/>
      <c r="O147" s="31"/>
      <c r="P147" s="31"/>
      <c r="Q147" s="29"/>
      <c r="R147" s="29" t="s">
        <v>8</v>
      </c>
      <c r="S147" s="63">
        <v>40026</v>
      </c>
      <c r="T147" s="67">
        <v>4814746</v>
      </c>
      <c r="U147" s="68">
        <v>6481157</v>
      </c>
      <c r="V147" s="69">
        <v>6481157</v>
      </c>
      <c r="W147" s="28" t="s">
        <v>634</v>
      </c>
      <c r="X147" s="29"/>
    </row>
    <row r="148" spans="1:24" hidden="1" x14ac:dyDescent="0.2">
      <c r="A148" s="29" t="s">
        <v>635</v>
      </c>
      <c r="B148" s="31" t="s">
        <v>571</v>
      </c>
      <c r="C148" s="31" t="s">
        <v>1040</v>
      </c>
      <c r="E148" s="31" t="s">
        <v>1042</v>
      </c>
      <c r="F148" s="36" t="s">
        <v>31</v>
      </c>
      <c r="G148" s="92" t="s">
        <v>636</v>
      </c>
      <c r="H148" s="70" t="s">
        <v>637</v>
      </c>
      <c r="I148" s="29" t="s">
        <v>307</v>
      </c>
      <c r="J148" s="29" t="s">
        <v>133</v>
      </c>
      <c r="K148" s="29" t="s">
        <v>638</v>
      </c>
      <c r="L148" s="56" t="s">
        <v>101</v>
      </c>
      <c r="M148" s="31" t="s">
        <v>633</v>
      </c>
      <c r="N148" s="31"/>
      <c r="O148" s="31"/>
      <c r="P148" s="31"/>
      <c r="Q148" s="29"/>
      <c r="R148" s="29" t="s">
        <v>8</v>
      </c>
      <c r="S148" s="63">
        <v>40026</v>
      </c>
      <c r="T148" s="67">
        <v>3398400</v>
      </c>
      <c r="U148" s="68">
        <v>4020184</v>
      </c>
      <c r="V148" s="69">
        <v>4020184</v>
      </c>
      <c r="W148" s="28" t="s">
        <v>639</v>
      </c>
      <c r="X148" s="29"/>
    </row>
    <row r="149" spans="1:24" hidden="1" x14ac:dyDescent="0.2">
      <c r="A149" s="29" t="s">
        <v>640</v>
      </c>
      <c r="B149" s="31" t="s">
        <v>571</v>
      </c>
      <c r="C149" s="31" t="s">
        <v>1040</v>
      </c>
      <c r="E149" s="31" t="s">
        <v>646</v>
      </c>
      <c r="F149" s="36" t="s">
        <v>31</v>
      </c>
      <c r="G149" s="92" t="s">
        <v>641</v>
      </c>
      <c r="H149" s="70" t="s">
        <v>61</v>
      </c>
      <c r="I149" s="29" t="s">
        <v>55</v>
      </c>
      <c r="J149" s="29" t="s">
        <v>56</v>
      </c>
      <c r="K149" s="31" t="s">
        <v>605</v>
      </c>
      <c r="L149" s="56" t="s">
        <v>582</v>
      </c>
      <c r="M149" s="31" t="s">
        <v>601</v>
      </c>
      <c r="N149" s="31"/>
      <c r="O149" s="31"/>
      <c r="P149" s="31"/>
      <c r="Q149" s="29"/>
      <c r="R149" s="29" t="s">
        <v>8</v>
      </c>
      <c r="S149" s="63">
        <v>40452</v>
      </c>
      <c r="T149" s="67">
        <v>10696617</v>
      </c>
      <c r="U149" s="68">
        <v>20391456</v>
      </c>
      <c r="V149" s="69">
        <v>20391456</v>
      </c>
      <c r="W149" s="28" t="s">
        <v>642</v>
      </c>
      <c r="X149" s="29"/>
    </row>
    <row r="150" spans="1:24" hidden="1" x14ac:dyDescent="0.2">
      <c r="A150" s="29" t="s">
        <v>643</v>
      </c>
      <c r="B150" s="31" t="s">
        <v>571</v>
      </c>
      <c r="C150" s="31" t="s">
        <v>1040</v>
      </c>
      <c r="E150" s="31" t="s">
        <v>646</v>
      </c>
      <c r="F150" s="36" t="s">
        <v>31</v>
      </c>
      <c r="G150" s="92" t="s">
        <v>644</v>
      </c>
      <c r="H150" s="70" t="s">
        <v>61</v>
      </c>
      <c r="I150" s="29" t="s">
        <v>55</v>
      </c>
      <c r="J150" s="29" t="s">
        <v>56</v>
      </c>
      <c r="K150" s="31" t="s">
        <v>645</v>
      </c>
      <c r="L150" s="56" t="s">
        <v>582</v>
      </c>
      <c r="M150" s="31" t="s">
        <v>601</v>
      </c>
      <c r="N150" s="31"/>
      <c r="O150" s="31"/>
      <c r="P150" s="31"/>
      <c r="Q150" s="31" t="s">
        <v>646</v>
      </c>
      <c r="R150" s="29" t="s">
        <v>8</v>
      </c>
      <c r="S150" s="63">
        <v>40817</v>
      </c>
      <c r="T150" s="67">
        <v>32168256</v>
      </c>
      <c r="U150" s="68">
        <v>32495692</v>
      </c>
      <c r="V150" s="69">
        <v>32495692</v>
      </c>
      <c r="W150" s="28" t="s">
        <v>647</v>
      </c>
      <c r="X150" s="29"/>
    </row>
    <row r="151" spans="1:24" hidden="1" x14ac:dyDescent="0.2">
      <c r="A151" s="29" t="s">
        <v>648</v>
      </c>
      <c r="B151" s="31" t="s">
        <v>571</v>
      </c>
      <c r="C151" s="31" t="s">
        <v>1040</v>
      </c>
      <c r="E151" s="31" t="s">
        <v>1042</v>
      </c>
      <c r="F151" s="36" t="s">
        <v>31</v>
      </c>
      <c r="G151" s="92" t="s">
        <v>649</v>
      </c>
      <c r="H151" s="70" t="s">
        <v>61</v>
      </c>
      <c r="I151" s="29" t="s">
        <v>55</v>
      </c>
      <c r="J151" s="29" t="s">
        <v>56</v>
      </c>
      <c r="K151" s="31" t="s">
        <v>581</v>
      </c>
      <c r="L151" s="56" t="s">
        <v>582</v>
      </c>
      <c r="M151" s="31" t="s">
        <v>650</v>
      </c>
      <c r="N151" s="31"/>
      <c r="O151" s="31"/>
      <c r="P151" s="31"/>
      <c r="Q151" s="29"/>
      <c r="R151" s="29" t="s">
        <v>8</v>
      </c>
      <c r="S151" s="63">
        <v>40909</v>
      </c>
      <c r="T151" s="67">
        <v>3504540</v>
      </c>
      <c r="U151" s="68">
        <v>5000000</v>
      </c>
      <c r="V151" s="69">
        <v>5000000</v>
      </c>
      <c r="W151" s="28" t="s">
        <v>651</v>
      </c>
      <c r="X151" s="29"/>
    </row>
    <row r="152" spans="1:24" hidden="1" x14ac:dyDescent="0.2">
      <c r="A152" s="29" t="s">
        <v>652</v>
      </c>
      <c r="B152" s="31" t="s">
        <v>571</v>
      </c>
      <c r="C152" s="31" t="s">
        <v>1040</v>
      </c>
      <c r="E152" s="31" t="s">
        <v>1043</v>
      </c>
      <c r="F152" s="36" t="s">
        <v>31</v>
      </c>
      <c r="G152" s="92" t="s">
        <v>653</v>
      </c>
      <c r="H152" s="70" t="s">
        <v>61</v>
      </c>
      <c r="I152" s="31" t="s">
        <v>55</v>
      </c>
      <c r="J152" s="31" t="s">
        <v>56</v>
      </c>
      <c r="K152" s="31" t="s">
        <v>609</v>
      </c>
      <c r="L152" s="56" t="s">
        <v>582</v>
      </c>
      <c r="M152" s="31" t="s">
        <v>654</v>
      </c>
      <c r="N152" s="31"/>
      <c r="O152" s="31"/>
      <c r="P152" s="31"/>
      <c r="Q152" s="31" t="s">
        <v>611</v>
      </c>
      <c r="R152" s="31" t="s">
        <v>8</v>
      </c>
      <c r="S152" s="63">
        <v>40878</v>
      </c>
      <c r="T152" s="67">
        <v>1134454</v>
      </c>
      <c r="U152" s="68">
        <v>1234454</v>
      </c>
      <c r="V152" s="69">
        <v>1234454</v>
      </c>
      <c r="W152" s="28" t="s">
        <v>655</v>
      </c>
      <c r="X152" s="29"/>
    </row>
    <row r="153" spans="1:24" hidden="1" x14ac:dyDescent="0.2">
      <c r="A153" s="29" t="s">
        <v>656</v>
      </c>
      <c r="B153" s="31" t="s">
        <v>571</v>
      </c>
      <c r="C153" s="31" t="s">
        <v>1040</v>
      </c>
      <c r="E153" s="31" t="s">
        <v>1041</v>
      </c>
      <c r="F153" s="36" t="s">
        <v>31</v>
      </c>
      <c r="G153" s="92" t="s">
        <v>657</v>
      </c>
      <c r="H153" s="70" t="s">
        <v>591</v>
      </c>
      <c r="I153" s="29" t="s">
        <v>55</v>
      </c>
      <c r="J153" s="29" t="s">
        <v>56</v>
      </c>
      <c r="K153" s="29" t="s">
        <v>573</v>
      </c>
      <c r="L153" s="56" t="s">
        <v>582</v>
      </c>
      <c r="M153" s="29"/>
      <c r="N153" s="29"/>
      <c r="O153" s="29"/>
      <c r="P153" s="29"/>
      <c r="Q153" s="29"/>
      <c r="R153" s="29" t="s">
        <v>8</v>
      </c>
      <c r="S153" s="63">
        <v>41122</v>
      </c>
      <c r="T153" s="67">
        <v>2155194</v>
      </c>
      <c r="U153" s="68">
        <v>2155194</v>
      </c>
      <c r="V153" s="69">
        <v>2155194</v>
      </c>
      <c r="W153" s="28" t="s">
        <v>658</v>
      </c>
      <c r="X153" s="29"/>
    </row>
    <row r="154" spans="1:24" hidden="1" x14ac:dyDescent="0.2">
      <c r="A154" s="29" t="s">
        <v>659</v>
      </c>
      <c r="B154" s="31" t="s">
        <v>571</v>
      </c>
      <c r="C154" s="31" t="s">
        <v>1040</v>
      </c>
      <c r="E154" s="31" t="s">
        <v>1041</v>
      </c>
      <c r="F154" s="36" t="s">
        <v>31</v>
      </c>
      <c r="G154" s="92" t="s">
        <v>660</v>
      </c>
      <c r="H154" s="70" t="s">
        <v>661</v>
      </c>
      <c r="I154" s="29" t="s">
        <v>55</v>
      </c>
      <c r="J154" s="29" t="s">
        <v>56</v>
      </c>
      <c r="K154" s="29" t="s">
        <v>573</v>
      </c>
      <c r="L154" s="56" t="s">
        <v>582</v>
      </c>
      <c r="M154" s="31" t="s">
        <v>662</v>
      </c>
      <c r="N154" s="31"/>
      <c r="O154" s="31"/>
      <c r="P154" s="31"/>
      <c r="Q154" s="31" t="s">
        <v>663</v>
      </c>
      <c r="R154" s="29" t="s">
        <v>8</v>
      </c>
      <c r="S154" s="63">
        <v>41426</v>
      </c>
      <c r="T154" s="67">
        <v>272808</v>
      </c>
      <c r="U154" s="68">
        <v>272808</v>
      </c>
      <c r="V154" s="69">
        <v>272808</v>
      </c>
      <c r="W154" s="28" t="s">
        <v>664</v>
      </c>
      <c r="X154" s="29"/>
    </row>
    <row r="155" spans="1:24" hidden="1" x14ac:dyDescent="0.2">
      <c r="A155" s="29" t="s">
        <v>665</v>
      </c>
      <c r="B155" s="31" t="s">
        <v>571</v>
      </c>
      <c r="C155" s="31" t="s">
        <v>1040</v>
      </c>
      <c r="E155" s="31" t="s">
        <v>1043</v>
      </c>
      <c r="F155" s="36" t="s">
        <v>31</v>
      </c>
      <c r="G155" s="92" t="s">
        <v>666</v>
      </c>
      <c r="H155" s="70" t="s">
        <v>78</v>
      </c>
      <c r="I155" s="29" t="s">
        <v>55</v>
      </c>
      <c r="J155" s="29" t="s">
        <v>56</v>
      </c>
      <c r="K155" s="31" t="s">
        <v>609</v>
      </c>
      <c r="L155" s="56" t="s">
        <v>582</v>
      </c>
      <c r="M155" s="31" t="s">
        <v>667</v>
      </c>
      <c r="N155" s="31"/>
      <c r="O155" s="31"/>
      <c r="P155" s="31"/>
      <c r="Q155" s="31" t="s">
        <v>611</v>
      </c>
      <c r="R155" s="29" t="s">
        <v>8</v>
      </c>
      <c r="S155" s="63">
        <v>41554</v>
      </c>
      <c r="T155" s="67">
        <v>767599</v>
      </c>
      <c r="U155" s="68">
        <v>767599</v>
      </c>
      <c r="V155" s="69">
        <v>767599</v>
      </c>
      <c r="W155" s="28" t="s">
        <v>668</v>
      </c>
      <c r="X155" s="29"/>
    </row>
    <row r="156" spans="1:24" hidden="1" x14ac:dyDescent="0.2">
      <c r="A156" s="29" t="s">
        <v>669</v>
      </c>
      <c r="B156" s="31" t="s">
        <v>571</v>
      </c>
      <c r="C156" s="31" t="s">
        <v>1040</v>
      </c>
      <c r="E156" s="31" t="s">
        <v>1042</v>
      </c>
      <c r="F156" s="36" t="s">
        <v>31</v>
      </c>
      <c r="G156" s="92" t="s">
        <v>670</v>
      </c>
      <c r="H156" s="70" t="s">
        <v>220</v>
      </c>
      <c r="I156" s="29" t="s">
        <v>55</v>
      </c>
      <c r="J156" s="29" t="s">
        <v>56</v>
      </c>
      <c r="K156" s="29" t="s">
        <v>581</v>
      </c>
      <c r="L156" s="56" t="s">
        <v>101</v>
      </c>
      <c r="M156" s="31" t="s">
        <v>667</v>
      </c>
      <c r="N156" s="31"/>
      <c r="O156" s="31"/>
      <c r="P156" s="31"/>
      <c r="Q156" s="29"/>
      <c r="R156" s="29" t="s">
        <v>8</v>
      </c>
      <c r="S156" s="63">
        <v>41533</v>
      </c>
      <c r="T156" s="67">
        <v>769500</v>
      </c>
      <c r="U156" s="68">
        <v>769500</v>
      </c>
      <c r="V156" s="69">
        <v>769500</v>
      </c>
      <c r="W156" s="28" t="s">
        <v>671</v>
      </c>
      <c r="X156" s="29"/>
    </row>
    <row r="157" spans="1:24" hidden="1" x14ac:dyDescent="0.2">
      <c r="A157" s="29" t="s">
        <v>672</v>
      </c>
      <c r="B157" s="31" t="s">
        <v>571</v>
      </c>
      <c r="C157" s="31" t="s">
        <v>1040</v>
      </c>
      <c r="E157" s="31" t="s">
        <v>646</v>
      </c>
      <c r="F157" s="36" t="s">
        <v>31</v>
      </c>
      <c r="G157" s="92" t="s">
        <v>673</v>
      </c>
      <c r="H157" s="70" t="s">
        <v>674</v>
      </c>
      <c r="I157" s="29" t="s">
        <v>55</v>
      </c>
      <c r="J157" s="29" t="s">
        <v>56</v>
      </c>
      <c r="K157" s="29" t="s">
        <v>581</v>
      </c>
      <c r="L157" s="56" t="s">
        <v>582</v>
      </c>
      <c r="M157" s="31" t="s">
        <v>601</v>
      </c>
      <c r="N157" s="31"/>
      <c r="O157" s="31"/>
      <c r="P157" s="31"/>
      <c r="Q157" s="29"/>
      <c r="R157" s="29" t="s">
        <v>8</v>
      </c>
      <c r="S157" s="63">
        <v>41456</v>
      </c>
      <c r="T157" s="67">
        <v>13200000</v>
      </c>
      <c r="U157" s="68">
        <v>14766566</v>
      </c>
      <c r="V157" s="69">
        <v>14766566</v>
      </c>
      <c r="W157" s="28" t="s">
        <v>675</v>
      </c>
      <c r="X157" s="29"/>
    </row>
    <row r="158" spans="1:24" hidden="1" x14ac:dyDescent="0.2">
      <c r="A158" s="29" t="s">
        <v>676</v>
      </c>
      <c r="B158" s="31" t="s">
        <v>571</v>
      </c>
      <c r="C158" s="31" t="s">
        <v>1040</v>
      </c>
      <c r="E158" s="31" t="s">
        <v>1043</v>
      </c>
      <c r="F158" s="36" t="s">
        <v>31</v>
      </c>
      <c r="G158" s="92" t="s">
        <v>677</v>
      </c>
      <c r="H158" s="70" t="s">
        <v>61</v>
      </c>
      <c r="I158" s="29" t="s">
        <v>55</v>
      </c>
      <c r="J158" s="29" t="s">
        <v>56</v>
      </c>
      <c r="K158" s="29" t="s">
        <v>609</v>
      </c>
      <c r="L158" s="56" t="s">
        <v>582</v>
      </c>
      <c r="M158" s="31" t="s">
        <v>678</v>
      </c>
      <c r="N158" s="31"/>
      <c r="O158" s="31"/>
      <c r="P158" s="31"/>
      <c r="Q158" s="31" t="s">
        <v>611</v>
      </c>
      <c r="R158" s="29" t="s">
        <v>8</v>
      </c>
      <c r="S158" s="63">
        <v>41821</v>
      </c>
      <c r="T158" s="67">
        <v>2078961</v>
      </c>
      <c r="U158" s="68">
        <v>2078961</v>
      </c>
      <c r="V158" s="69">
        <v>2078961</v>
      </c>
      <c r="W158" s="28" t="s">
        <v>679</v>
      </c>
      <c r="X158" s="29"/>
    </row>
    <row r="159" spans="1:24" x14ac:dyDescent="0.2">
      <c r="A159" s="29" t="s">
        <v>680</v>
      </c>
      <c r="B159" s="31" t="s">
        <v>571</v>
      </c>
      <c r="C159" s="31" t="s">
        <v>1029</v>
      </c>
      <c r="D159" s="31"/>
      <c r="E159" s="31"/>
      <c r="F159" s="36" t="s">
        <v>31</v>
      </c>
      <c r="G159" s="92" t="s">
        <v>681</v>
      </c>
      <c r="H159" s="70" t="s">
        <v>591</v>
      </c>
      <c r="I159" s="29" t="s">
        <v>55</v>
      </c>
      <c r="J159" s="29" t="s">
        <v>56</v>
      </c>
      <c r="K159" s="29" t="s">
        <v>581</v>
      </c>
      <c r="L159" s="56" t="s">
        <v>37</v>
      </c>
      <c r="M159" s="31" t="s">
        <v>38</v>
      </c>
      <c r="N159" s="31" t="s">
        <v>1030</v>
      </c>
      <c r="O159" s="31" t="s">
        <v>38</v>
      </c>
      <c r="P159" s="31" t="s">
        <v>1031</v>
      </c>
      <c r="Q159" s="29"/>
      <c r="R159" s="29" t="s">
        <v>8</v>
      </c>
      <c r="S159" s="63">
        <v>41944</v>
      </c>
      <c r="T159" s="67">
        <v>233526</v>
      </c>
      <c r="U159" s="68">
        <v>425794</v>
      </c>
      <c r="V159" s="69">
        <v>425794</v>
      </c>
      <c r="W159" s="28" t="s">
        <v>682</v>
      </c>
      <c r="X159" s="29"/>
    </row>
    <row r="160" spans="1:24" x14ac:dyDescent="0.2">
      <c r="A160" s="29" t="s">
        <v>683</v>
      </c>
      <c r="B160" s="31" t="s">
        <v>571</v>
      </c>
      <c r="C160" s="31" t="s">
        <v>1029</v>
      </c>
      <c r="D160" s="31"/>
      <c r="E160" s="31"/>
      <c r="F160" s="36" t="s">
        <v>31</v>
      </c>
      <c r="G160" s="92" t="s">
        <v>684</v>
      </c>
      <c r="H160" s="70" t="s">
        <v>685</v>
      </c>
      <c r="I160" s="29" t="s">
        <v>538</v>
      </c>
      <c r="J160" s="29" t="s">
        <v>35</v>
      </c>
      <c r="K160" s="29" t="s">
        <v>609</v>
      </c>
      <c r="L160" s="56" t="s">
        <v>37</v>
      </c>
      <c r="M160" s="31" t="s">
        <v>38</v>
      </c>
      <c r="N160" s="31" t="s">
        <v>1030</v>
      </c>
      <c r="O160" s="31" t="s">
        <v>38</v>
      </c>
      <c r="P160" s="31" t="s">
        <v>1031</v>
      </c>
      <c r="Q160" s="31" t="s">
        <v>686</v>
      </c>
      <c r="R160" s="29" t="s">
        <v>8</v>
      </c>
      <c r="S160" s="63">
        <v>42248</v>
      </c>
      <c r="T160" s="67">
        <v>406701</v>
      </c>
      <c r="U160" s="68">
        <v>408340</v>
      </c>
      <c r="V160" s="69">
        <v>408340</v>
      </c>
      <c r="W160" s="28" t="s">
        <v>687</v>
      </c>
      <c r="X160" s="29"/>
    </row>
    <row r="161" spans="1:31" x14ac:dyDescent="0.2">
      <c r="A161" s="29" t="s">
        <v>688</v>
      </c>
      <c r="B161" s="31" t="s">
        <v>571</v>
      </c>
      <c r="C161" s="31" t="s">
        <v>1029</v>
      </c>
      <c r="D161" s="31"/>
      <c r="E161" s="31"/>
      <c r="F161" s="36" t="s">
        <v>31</v>
      </c>
      <c r="G161" s="93" t="s">
        <v>689</v>
      </c>
      <c r="H161" s="70" t="s">
        <v>690</v>
      </c>
      <c r="I161" s="29" t="s">
        <v>538</v>
      </c>
      <c r="J161" s="29" t="s">
        <v>35</v>
      </c>
      <c r="K161" s="29" t="s">
        <v>581</v>
      </c>
      <c r="L161" s="56" t="s">
        <v>95</v>
      </c>
      <c r="M161" s="31" t="s">
        <v>38</v>
      </c>
      <c r="N161" s="31" t="s">
        <v>1030</v>
      </c>
      <c r="O161" s="31" t="s">
        <v>38</v>
      </c>
      <c r="P161" s="31" t="s">
        <v>1031</v>
      </c>
      <c r="Q161" s="29"/>
      <c r="R161" s="29" t="s">
        <v>8</v>
      </c>
      <c r="S161" s="63">
        <v>42186</v>
      </c>
      <c r="T161" s="67">
        <v>403201</v>
      </c>
      <c r="U161" s="68">
        <v>403201</v>
      </c>
      <c r="V161" s="69">
        <v>403201</v>
      </c>
      <c r="W161" s="28" t="s">
        <v>691</v>
      </c>
      <c r="X161" s="29"/>
    </row>
    <row r="162" spans="1:31" x14ac:dyDescent="0.2">
      <c r="A162" s="29" t="s">
        <v>692</v>
      </c>
      <c r="B162" s="31" t="s">
        <v>571</v>
      </c>
      <c r="C162" s="31" t="s">
        <v>1029</v>
      </c>
      <c r="D162" s="31"/>
      <c r="E162" s="31"/>
      <c r="F162" s="36" t="s">
        <v>31</v>
      </c>
      <c r="G162" s="92" t="s">
        <v>693</v>
      </c>
      <c r="H162" s="70" t="s">
        <v>694</v>
      </c>
      <c r="I162" s="29" t="s">
        <v>695</v>
      </c>
      <c r="J162" s="29" t="s">
        <v>133</v>
      </c>
      <c r="K162" s="29" t="s">
        <v>609</v>
      </c>
      <c r="L162" s="56" t="s">
        <v>95</v>
      </c>
      <c r="M162" s="31" t="s">
        <v>38</v>
      </c>
      <c r="N162" s="31" t="s">
        <v>1030</v>
      </c>
      <c r="O162" s="31" t="s">
        <v>38</v>
      </c>
      <c r="P162" s="31" t="s">
        <v>1031</v>
      </c>
      <c r="Q162" s="29"/>
      <c r="R162" s="29" t="s">
        <v>8</v>
      </c>
      <c r="S162" s="71">
        <v>42430</v>
      </c>
      <c r="T162" s="67">
        <v>360979</v>
      </c>
      <c r="U162" s="68">
        <v>360979</v>
      </c>
      <c r="V162" s="69">
        <v>360979</v>
      </c>
      <c r="W162" s="28" t="s">
        <v>696</v>
      </c>
      <c r="X162" s="29"/>
    </row>
    <row r="163" spans="1:31" x14ac:dyDescent="0.2">
      <c r="A163" s="29" t="s">
        <v>697</v>
      </c>
      <c r="B163" s="31" t="s">
        <v>571</v>
      </c>
      <c r="C163" s="31" t="s">
        <v>1029</v>
      </c>
      <c r="D163" s="31"/>
      <c r="E163" s="31"/>
      <c r="F163" s="36" t="s">
        <v>31</v>
      </c>
      <c r="G163" s="92" t="s">
        <v>698</v>
      </c>
      <c r="H163" s="70" t="s">
        <v>591</v>
      </c>
      <c r="I163" s="29" t="s">
        <v>55</v>
      </c>
      <c r="J163" s="29" t="s">
        <v>56</v>
      </c>
      <c r="K163" s="29" t="s">
        <v>581</v>
      </c>
      <c r="L163" s="56" t="s">
        <v>95</v>
      </c>
      <c r="M163" s="31" t="s">
        <v>38</v>
      </c>
      <c r="N163" s="31" t="s">
        <v>1030</v>
      </c>
      <c r="O163" s="31" t="s">
        <v>38</v>
      </c>
      <c r="P163" s="31" t="s">
        <v>1031</v>
      </c>
      <c r="Q163" s="29"/>
      <c r="R163" s="29" t="s">
        <v>8</v>
      </c>
      <c r="S163" s="63">
        <v>42436</v>
      </c>
      <c r="T163" s="67">
        <v>415166</v>
      </c>
      <c r="U163" s="68">
        <v>415166</v>
      </c>
      <c r="V163" s="69">
        <v>415166</v>
      </c>
      <c r="W163" s="28" t="s">
        <v>699</v>
      </c>
      <c r="X163" s="29"/>
    </row>
    <row r="164" spans="1:31" hidden="1" x14ac:dyDescent="0.2">
      <c r="A164" s="29" t="s">
        <v>700</v>
      </c>
      <c r="B164" s="31" t="s">
        <v>571</v>
      </c>
      <c r="C164" s="31" t="s">
        <v>1040</v>
      </c>
      <c r="E164" s="31" t="s">
        <v>646</v>
      </c>
      <c r="F164" s="36" t="s">
        <v>31</v>
      </c>
      <c r="G164" s="92" t="s">
        <v>701</v>
      </c>
      <c r="H164" s="70" t="s">
        <v>631</v>
      </c>
      <c r="I164" s="29" t="s">
        <v>307</v>
      </c>
      <c r="J164" s="29" t="s">
        <v>133</v>
      </c>
      <c r="K164" s="29" t="s">
        <v>581</v>
      </c>
      <c r="L164" s="56" t="s">
        <v>101</v>
      </c>
      <c r="M164" s="31" t="s">
        <v>702</v>
      </c>
      <c r="N164" s="31"/>
      <c r="O164" s="31"/>
      <c r="P164" s="31"/>
      <c r="Q164" s="29"/>
      <c r="R164" s="29" t="s">
        <v>8</v>
      </c>
      <c r="S164" s="63">
        <v>42430</v>
      </c>
      <c r="T164" s="67">
        <v>4764147</v>
      </c>
      <c r="U164" s="68">
        <v>5583368</v>
      </c>
      <c r="V164" s="69">
        <v>5583368</v>
      </c>
      <c r="W164" s="28" t="s">
        <v>703</v>
      </c>
      <c r="X164" s="29"/>
    </row>
    <row r="165" spans="1:31" ht="16" hidden="1" x14ac:dyDescent="0.2">
      <c r="A165" s="29" t="s">
        <v>704</v>
      </c>
      <c r="B165" s="31" t="s">
        <v>571</v>
      </c>
      <c r="C165" s="31" t="s">
        <v>1040</v>
      </c>
      <c r="E165" s="31" t="s">
        <v>646</v>
      </c>
      <c r="F165" s="36" t="s">
        <v>31</v>
      </c>
      <c r="G165" s="94" t="s">
        <v>705</v>
      </c>
      <c r="H165" s="70" t="s">
        <v>600</v>
      </c>
      <c r="I165" s="29" t="s">
        <v>307</v>
      </c>
      <c r="J165" s="29" t="s">
        <v>133</v>
      </c>
      <c r="K165" s="29" t="s">
        <v>581</v>
      </c>
      <c r="L165" s="56" t="s">
        <v>101</v>
      </c>
      <c r="M165" s="31" t="s">
        <v>706</v>
      </c>
      <c r="N165" s="31"/>
      <c r="O165" s="31"/>
      <c r="P165" s="31"/>
      <c r="Q165" s="29"/>
      <c r="R165" s="29" t="s">
        <v>8</v>
      </c>
      <c r="S165" s="63">
        <v>42370</v>
      </c>
      <c r="T165" s="67">
        <v>10497423</v>
      </c>
      <c r="U165" s="68">
        <v>10497423</v>
      </c>
      <c r="V165" s="69">
        <v>10497423</v>
      </c>
      <c r="W165" s="28" t="s">
        <v>707</v>
      </c>
      <c r="X165" s="29"/>
    </row>
    <row r="166" spans="1:31" x14ac:dyDescent="0.2">
      <c r="A166" s="29" t="s">
        <v>708</v>
      </c>
      <c r="B166" s="31" t="s">
        <v>30</v>
      </c>
      <c r="C166" s="36" t="s">
        <v>1029</v>
      </c>
      <c r="E166" s="31"/>
      <c r="F166" s="36" t="s">
        <v>31</v>
      </c>
      <c r="G166" s="92" t="s">
        <v>709</v>
      </c>
      <c r="H166" s="29" t="s">
        <v>91</v>
      </c>
      <c r="I166" s="29" t="s">
        <v>55</v>
      </c>
      <c r="J166" s="29" t="s">
        <v>56</v>
      </c>
      <c r="K166" s="29" t="s">
        <v>36</v>
      </c>
      <c r="L166" s="56" t="s">
        <v>95</v>
      </c>
      <c r="M166" s="31" t="s">
        <v>85</v>
      </c>
      <c r="N166" s="36" t="s">
        <v>1032</v>
      </c>
      <c r="O166" s="31"/>
      <c r="P166" s="36" t="s">
        <v>1031</v>
      </c>
      <c r="Q166" s="29"/>
      <c r="R166" s="29" t="s">
        <v>8</v>
      </c>
      <c r="S166" s="71">
        <v>42339</v>
      </c>
      <c r="T166" s="67">
        <v>499186</v>
      </c>
      <c r="U166" s="68">
        <v>499186</v>
      </c>
      <c r="V166" s="69">
        <v>499186</v>
      </c>
      <c r="W166" s="28" t="s">
        <v>710</v>
      </c>
      <c r="X166" s="29"/>
    </row>
    <row r="167" spans="1:31" hidden="1" x14ac:dyDescent="0.2">
      <c r="A167" s="29" t="s">
        <v>711</v>
      </c>
      <c r="B167" s="31" t="s">
        <v>571</v>
      </c>
      <c r="C167" s="31" t="s">
        <v>1040</v>
      </c>
      <c r="E167" s="31" t="s">
        <v>1041</v>
      </c>
      <c r="F167" s="36" t="s">
        <v>31</v>
      </c>
      <c r="G167" s="92" t="s">
        <v>712</v>
      </c>
      <c r="H167" s="70" t="s">
        <v>713</v>
      </c>
      <c r="I167" s="29" t="s">
        <v>55</v>
      </c>
      <c r="J167" s="29" t="s">
        <v>56</v>
      </c>
      <c r="K167" s="31" t="s">
        <v>573</v>
      </c>
      <c r="L167" s="56" t="s">
        <v>582</v>
      </c>
      <c r="M167" s="31" t="s">
        <v>714</v>
      </c>
      <c r="N167" s="31"/>
      <c r="O167" s="31"/>
      <c r="P167" s="31"/>
      <c r="Q167" s="29"/>
      <c r="R167" s="29" t="s">
        <v>8</v>
      </c>
      <c r="S167" s="63">
        <v>42644</v>
      </c>
      <c r="T167" s="67">
        <v>660064</v>
      </c>
      <c r="U167" s="68">
        <v>660064</v>
      </c>
      <c r="V167" s="69">
        <v>660064</v>
      </c>
      <c r="W167" s="28" t="s">
        <v>715</v>
      </c>
      <c r="X167" s="29"/>
    </row>
    <row r="168" spans="1:31" hidden="1" x14ac:dyDescent="0.2">
      <c r="A168" s="29" t="s">
        <v>716</v>
      </c>
      <c r="B168" s="31" t="s">
        <v>571</v>
      </c>
      <c r="C168" s="31" t="s">
        <v>1040</v>
      </c>
      <c r="E168" s="31" t="s">
        <v>646</v>
      </c>
      <c r="F168" s="36" t="s">
        <v>31</v>
      </c>
      <c r="G168" s="92" t="s">
        <v>717</v>
      </c>
      <c r="H168" s="70" t="s">
        <v>61</v>
      </c>
      <c r="I168" s="29" t="s">
        <v>55</v>
      </c>
      <c r="J168" s="29" t="s">
        <v>56</v>
      </c>
      <c r="K168" s="29" t="s">
        <v>645</v>
      </c>
      <c r="L168" s="56" t="s">
        <v>582</v>
      </c>
      <c r="M168" s="31" t="s">
        <v>718</v>
      </c>
      <c r="N168" s="31"/>
      <c r="O168" s="31"/>
      <c r="P168" s="31"/>
      <c r="Q168" s="31" t="s">
        <v>646</v>
      </c>
      <c r="R168" s="29" t="s">
        <v>8</v>
      </c>
      <c r="S168" s="63">
        <v>42644</v>
      </c>
      <c r="T168" s="67">
        <v>26595244</v>
      </c>
      <c r="U168" s="68">
        <v>45500000</v>
      </c>
      <c r="V168" s="69">
        <v>45500000</v>
      </c>
      <c r="W168" s="28" t="s">
        <v>719</v>
      </c>
      <c r="X168" s="29"/>
    </row>
    <row r="169" spans="1:31" s="90" customFormat="1" x14ac:dyDescent="0.2">
      <c r="A169" s="80" t="s">
        <v>43</v>
      </c>
      <c r="B169" s="81" t="s">
        <v>571</v>
      </c>
      <c r="C169" s="81" t="s">
        <v>1029</v>
      </c>
      <c r="D169" s="81"/>
      <c r="E169" s="81"/>
      <c r="F169" s="82" t="s">
        <v>31</v>
      </c>
      <c r="G169" s="95" t="s">
        <v>720</v>
      </c>
      <c r="H169" s="83" t="s">
        <v>45</v>
      </c>
      <c r="I169" s="80" t="s">
        <v>538</v>
      </c>
      <c r="J169" s="80" t="s">
        <v>35</v>
      </c>
      <c r="K169" s="80" t="s">
        <v>36</v>
      </c>
      <c r="L169" s="84" t="s">
        <v>47</v>
      </c>
      <c r="M169" s="81" t="s">
        <v>48</v>
      </c>
      <c r="N169" s="81"/>
      <c r="O169" s="81"/>
      <c r="P169" s="81"/>
      <c r="Q169" s="80" t="s">
        <v>39</v>
      </c>
      <c r="R169" s="80" t="s">
        <v>8</v>
      </c>
      <c r="S169" s="85">
        <v>42826</v>
      </c>
      <c r="T169" s="86">
        <v>9385397</v>
      </c>
      <c r="U169" s="87">
        <v>9385397</v>
      </c>
      <c r="V169" s="88">
        <v>9385397</v>
      </c>
      <c r="W169" s="89" t="s">
        <v>50</v>
      </c>
      <c r="X169" s="80"/>
      <c r="AE169" s="90" t="s">
        <v>1044</v>
      </c>
    </row>
    <row r="170" spans="1:31" x14ac:dyDescent="0.2">
      <c r="A170" s="29" t="s">
        <v>721</v>
      </c>
      <c r="B170" s="31" t="s">
        <v>30</v>
      </c>
      <c r="C170" s="31" t="s">
        <v>1029</v>
      </c>
      <c r="D170" s="31"/>
      <c r="E170" s="31"/>
      <c r="F170" s="36" t="s">
        <v>31</v>
      </c>
      <c r="G170" s="92" t="s">
        <v>722</v>
      </c>
      <c r="H170" s="70" t="s">
        <v>91</v>
      </c>
      <c r="I170" s="29" t="s">
        <v>55</v>
      </c>
      <c r="J170" s="29" t="s">
        <v>56</v>
      </c>
      <c r="K170" s="29" t="s">
        <v>36</v>
      </c>
      <c r="L170" s="56" t="s">
        <v>47</v>
      </c>
      <c r="M170" s="31" t="s">
        <v>48</v>
      </c>
      <c r="N170" s="31"/>
      <c r="O170" s="31"/>
      <c r="P170" s="31"/>
      <c r="Q170" s="29"/>
      <c r="R170" s="29" t="s">
        <v>8</v>
      </c>
      <c r="S170" s="71">
        <v>42712</v>
      </c>
      <c r="T170" s="67">
        <v>149988</v>
      </c>
      <c r="U170" s="68">
        <v>149988</v>
      </c>
      <c r="V170" s="69">
        <v>149988</v>
      </c>
      <c r="W170" s="28" t="s">
        <v>723</v>
      </c>
      <c r="X170" s="29"/>
    </row>
    <row r="171" spans="1:31" s="90" customFormat="1" x14ac:dyDescent="0.2">
      <c r="A171" s="80" t="s">
        <v>74</v>
      </c>
      <c r="B171" s="81" t="s">
        <v>571</v>
      </c>
      <c r="C171" s="81" t="s">
        <v>1029</v>
      </c>
      <c r="D171" s="81"/>
      <c r="E171" s="81"/>
      <c r="F171" s="82" t="s">
        <v>31</v>
      </c>
      <c r="G171" s="95" t="s">
        <v>66</v>
      </c>
      <c r="H171" s="83" t="s">
        <v>67</v>
      </c>
      <c r="I171" s="80" t="s">
        <v>68</v>
      </c>
      <c r="J171" s="80" t="s">
        <v>35</v>
      </c>
      <c r="K171" s="80" t="s">
        <v>581</v>
      </c>
      <c r="L171" s="84" t="s">
        <v>47</v>
      </c>
      <c r="M171" s="80"/>
      <c r="N171" s="80"/>
      <c r="O171" s="80"/>
      <c r="P171" s="80"/>
      <c r="Q171" s="80" t="s">
        <v>39</v>
      </c>
      <c r="R171" s="80" t="s">
        <v>8</v>
      </c>
      <c r="S171" s="91">
        <v>42927</v>
      </c>
      <c r="T171" s="86">
        <v>8472026</v>
      </c>
      <c r="U171" s="87">
        <v>9080259</v>
      </c>
      <c r="V171" s="88">
        <v>9080259</v>
      </c>
      <c r="W171" s="89" t="s">
        <v>75</v>
      </c>
      <c r="X171" s="80"/>
      <c r="AE171" s="90" t="s">
        <v>1045</v>
      </c>
    </row>
    <row r="172" spans="1:31" hidden="1" x14ac:dyDescent="0.2">
      <c r="A172" s="29" t="s">
        <v>724</v>
      </c>
      <c r="B172" s="31" t="s">
        <v>571</v>
      </c>
      <c r="C172" s="31" t="s">
        <v>1040</v>
      </c>
      <c r="E172" s="31" t="s">
        <v>1041</v>
      </c>
      <c r="F172" s="36" t="s">
        <v>31</v>
      </c>
      <c r="G172" s="92" t="s">
        <v>725</v>
      </c>
      <c r="H172" s="70" t="s">
        <v>591</v>
      </c>
      <c r="I172" s="29" t="s">
        <v>55</v>
      </c>
      <c r="J172" s="29" t="s">
        <v>56</v>
      </c>
      <c r="K172" s="29" t="s">
        <v>573</v>
      </c>
      <c r="L172" s="56" t="s">
        <v>101</v>
      </c>
      <c r="M172" s="31" t="s">
        <v>615</v>
      </c>
      <c r="N172" s="31"/>
      <c r="O172" s="31"/>
      <c r="P172" s="31"/>
      <c r="Q172" s="31" t="s">
        <v>616</v>
      </c>
      <c r="R172" s="29" t="s">
        <v>8</v>
      </c>
      <c r="S172" s="63">
        <v>43344</v>
      </c>
      <c r="T172" s="67">
        <v>1614694</v>
      </c>
      <c r="U172" s="68">
        <v>1614694</v>
      </c>
      <c r="V172" s="69">
        <v>1614694</v>
      </c>
      <c r="W172" s="28" t="s">
        <v>726</v>
      </c>
      <c r="X172" s="29"/>
    </row>
    <row r="173" spans="1:31" x14ac:dyDescent="0.2">
      <c r="A173" s="29" t="s">
        <v>727</v>
      </c>
      <c r="B173" s="31" t="s">
        <v>30</v>
      </c>
      <c r="C173" s="36" t="s">
        <v>1029</v>
      </c>
      <c r="E173" s="31"/>
      <c r="F173" s="36" t="s">
        <v>31</v>
      </c>
      <c r="G173" s="92" t="s">
        <v>728</v>
      </c>
      <c r="H173" s="70" t="s">
        <v>591</v>
      </c>
      <c r="I173" s="29" t="s">
        <v>55</v>
      </c>
      <c r="J173" s="29" t="s">
        <v>56</v>
      </c>
      <c r="K173" s="29" t="s">
        <v>36</v>
      </c>
      <c r="L173" s="56" t="s">
        <v>37</v>
      </c>
      <c r="M173" s="31" t="s">
        <v>729</v>
      </c>
      <c r="N173" s="36" t="s">
        <v>1032</v>
      </c>
      <c r="O173" s="31"/>
      <c r="P173" s="36" t="s">
        <v>1031</v>
      </c>
      <c r="Q173" s="29"/>
      <c r="R173" s="29" t="s">
        <v>8</v>
      </c>
      <c r="S173" s="63">
        <v>43136</v>
      </c>
      <c r="T173" s="67">
        <v>99853</v>
      </c>
      <c r="U173" s="68">
        <v>99853</v>
      </c>
      <c r="V173" s="69">
        <v>99853</v>
      </c>
      <c r="W173" s="28" t="s">
        <v>730</v>
      </c>
      <c r="X173" s="29"/>
    </row>
    <row r="174" spans="1:31" hidden="1" x14ac:dyDescent="0.2">
      <c r="A174" s="29" t="s">
        <v>731</v>
      </c>
      <c r="B174" s="31" t="s">
        <v>571</v>
      </c>
      <c r="C174" s="31" t="s">
        <v>1040</v>
      </c>
      <c r="E174" s="31" t="s">
        <v>1041</v>
      </c>
      <c r="F174" s="36" t="s">
        <v>31</v>
      </c>
      <c r="G174" s="92" t="s">
        <v>732</v>
      </c>
      <c r="H174" s="70" t="s">
        <v>78</v>
      </c>
      <c r="I174" s="29" t="s">
        <v>55</v>
      </c>
      <c r="J174" s="29" t="s">
        <v>56</v>
      </c>
      <c r="K174" s="29" t="s">
        <v>573</v>
      </c>
      <c r="L174" s="56" t="s">
        <v>47</v>
      </c>
      <c r="M174" s="31" t="s">
        <v>733</v>
      </c>
      <c r="N174" s="31"/>
      <c r="O174" s="31"/>
      <c r="P174" s="31"/>
      <c r="Q174" s="31" t="s">
        <v>663</v>
      </c>
      <c r="R174" s="29" t="s">
        <v>8</v>
      </c>
      <c r="S174" s="63">
        <v>43709</v>
      </c>
      <c r="T174" s="67">
        <v>1174581</v>
      </c>
      <c r="U174" s="68">
        <v>1174581</v>
      </c>
      <c r="V174" s="69">
        <v>1174581</v>
      </c>
      <c r="W174" s="28" t="s">
        <v>734</v>
      </c>
      <c r="X174" s="29"/>
    </row>
    <row r="175" spans="1:31" x14ac:dyDescent="0.2">
      <c r="A175" s="29" t="s">
        <v>735</v>
      </c>
      <c r="B175" s="31" t="s">
        <v>571</v>
      </c>
      <c r="C175" s="36" t="s">
        <v>1029</v>
      </c>
      <c r="D175" s="31"/>
      <c r="E175" s="31"/>
      <c r="F175" s="36" t="s">
        <v>31</v>
      </c>
      <c r="G175" s="92" t="s">
        <v>736</v>
      </c>
      <c r="H175" s="70" t="s">
        <v>591</v>
      </c>
      <c r="I175" s="29" t="s">
        <v>55</v>
      </c>
      <c r="J175" s="29" t="s">
        <v>56</v>
      </c>
      <c r="K175" s="29" t="s">
        <v>36</v>
      </c>
      <c r="L175" s="56" t="s">
        <v>101</v>
      </c>
      <c r="M175" s="31" t="s">
        <v>85</v>
      </c>
      <c r="N175" s="36" t="s">
        <v>1032</v>
      </c>
      <c r="O175" s="31"/>
      <c r="P175" s="36" t="s">
        <v>1031</v>
      </c>
      <c r="Q175" s="29"/>
      <c r="R175" s="29" t="s">
        <v>8</v>
      </c>
      <c r="S175" s="63">
        <v>43514</v>
      </c>
      <c r="T175" s="67">
        <v>99632</v>
      </c>
      <c r="U175" s="68">
        <v>99632</v>
      </c>
      <c r="V175" s="69">
        <v>99632</v>
      </c>
      <c r="W175" s="28" t="s">
        <v>737</v>
      </c>
      <c r="X175" s="29"/>
    </row>
    <row r="176" spans="1:31" s="90" customFormat="1" x14ac:dyDescent="0.2">
      <c r="A176" s="80" t="s">
        <v>107</v>
      </c>
      <c r="B176" s="81" t="s">
        <v>30</v>
      </c>
      <c r="C176" s="82" t="s">
        <v>1029</v>
      </c>
      <c r="D176" s="81"/>
      <c r="E176" s="81"/>
      <c r="F176" s="82" t="s">
        <v>31</v>
      </c>
      <c r="G176" s="95" t="s">
        <v>108</v>
      </c>
      <c r="H176" s="83" t="s">
        <v>109</v>
      </c>
      <c r="I176" s="80" t="s">
        <v>55</v>
      </c>
      <c r="J176" s="80" t="s">
        <v>56</v>
      </c>
      <c r="K176" s="80" t="s">
        <v>36</v>
      </c>
      <c r="L176" s="84" t="s">
        <v>47</v>
      </c>
      <c r="M176" s="81" t="s">
        <v>110</v>
      </c>
      <c r="N176" s="81"/>
      <c r="O176" s="81"/>
      <c r="P176" s="82" t="s">
        <v>1031</v>
      </c>
      <c r="Q176" s="80" t="s">
        <v>57</v>
      </c>
      <c r="R176" s="80" t="s">
        <v>8</v>
      </c>
      <c r="S176" s="85">
        <v>43739</v>
      </c>
      <c r="T176" s="86">
        <v>499529</v>
      </c>
      <c r="U176" s="87">
        <v>499529</v>
      </c>
      <c r="V176" s="88">
        <v>499529</v>
      </c>
      <c r="W176" s="89" t="s">
        <v>112</v>
      </c>
      <c r="X176" s="80"/>
      <c r="AE176" s="90" t="s">
        <v>1046</v>
      </c>
    </row>
    <row r="177" spans="1:29" x14ac:dyDescent="0.2">
      <c r="A177" s="29" t="s">
        <v>738</v>
      </c>
      <c r="B177" s="31" t="s">
        <v>30</v>
      </c>
      <c r="C177" s="36" t="s">
        <v>1029</v>
      </c>
      <c r="D177" s="31"/>
      <c r="E177" s="31"/>
      <c r="F177" s="36" t="s">
        <v>31</v>
      </c>
      <c r="G177" s="92" t="s">
        <v>126</v>
      </c>
      <c r="H177" s="70" t="s">
        <v>127</v>
      </c>
      <c r="I177" s="29" t="s">
        <v>538</v>
      </c>
      <c r="J177" s="29" t="s">
        <v>35</v>
      </c>
      <c r="K177" s="29" t="s">
        <v>36</v>
      </c>
      <c r="L177" s="56" t="s">
        <v>47</v>
      </c>
      <c r="M177" s="31" t="s">
        <v>110</v>
      </c>
      <c r="N177" s="31"/>
      <c r="O177" s="31"/>
      <c r="P177" s="36" t="s">
        <v>1031</v>
      </c>
      <c r="Q177" s="29" t="s">
        <v>57</v>
      </c>
      <c r="R177" s="29" t="s">
        <v>8</v>
      </c>
      <c r="S177" s="71">
        <v>45017</v>
      </c>
      <c r="T177" s="67">
        <v>483105</v>
      </c>
      <c r="U177" s="68">
        <v>483015</v>
      </c>
      <c r="V177" s="69">
        <v>483015</v>
      </c>
      <c r="W177" s="28" t="s">
        <v>128</v>
      </c>
      <c r="X177" s="29"/>
    </row>
    <row r="178" spans="1:29" x14ac:dyDescent="0.2">
      <c r="A178" s="29" t="s">
        <v>739</v>
      </c>
      <c r="B178" s="31" t="s">
        <v>30</v>
      </c>
      <c r="C178" s="31" t="s">
        <v>1029</v>
      </c>
      <c r="D178" s="31"/>
      <c r="E178" s="31"/>
      <c r="F178" s="36" t="s">
        <v>31</v>
      </c>
      <c r="G178" s="92" t="s">
        <v>740</v>
      </c>
      <c r="H178" s="70" t="s">
        <v>741</v>
      </c>
      <c r="I178" s="29" t="s">
        <v>55</v>
      </c>
      <c r="J178" s="29" t="s">
        <v>56</v>
      </c>
      <c r="K178" s="29" t="s">
        <v>36</v>
      </c>
      <c r="L178" s="56" t="s">
        <v>95</v>
      </c>
      <c r="M178" s="31" t="s">
        <v>48</v>
      </c>
      <c r="N178" s="31"/>
      <c r="O178" s="31"/>
      <c r="P178" s="31"/>
      <c r="Q178" s="29" t="s">
        <v>663</v>
      </c>
      <c r="R178" s="29" t="s">
        <v>8</v>
      </c>
      <c r="S178" s="63">
        <v>43922</v>
      </c>
      <c r="T178" s="67">
        <v>300000</v>
      </c>
      <c r="U178" s="68">
        <v>300000</v>
      </c>
      <c r="V178" s="69">
        <v>300000</v>
      </c>
      <c r="W178" s="28" t="s">
        <v>742</v>
      </c>
      <c r="X178" s="29"/>
    </row>
    <row r="179" spans="1:29" hidden="1" x14ac:dyDescent="0.2">
      <c r="A179" s="29" t="s">
        <v>743</v>
      </c>
      <c r="B179" s="31" t="s">
        <v>571</v>
      </c>
      <c r="C179" s="31" t="s">
        <v>1040</v>
      </c>
      <c r="E179" s="31" t="s">
        <v>1041</v>
      </c>
      <c r="F179" s="36" t="s">
        <v>31</v>
      </c>
      <c r="G179" s="92" t="s">
        <v>744</v>
      </c>
      <c r="H179" s="70" t="s">
        <v>745</v>
      </c>
      <c r="I179" s="29" t="s">
        <v>746</v>
      </c>
      <c r="J179" s="29" t="s">
        <v>133</v>
      </c>
      <c r="K179" s="29" t="s">
        <v>573</v>
      </c>
      <c r="L179" s="56" t="s">
        <v>47</v>
      </c>
      <c r="M179" s="31" t="s">
        <v>662</v>
      </c>
      <c r="N179" s="31"/>
      <c r="O179" s="31"/>
      <c r="P179" s="31"/>
      <c r="Q179" s="31" t="s">
        <v>663</v>
      </c>
      <c r="R179" s="29" t="s">
        <v>8</v>
      </c>
      <c r="S179" s="71">
        <v>43831</v>
      </c>
      <c r="T179" s="67">
        <v>307623</v>
      </c>
      <c r="U179" s="68">
        <v>307623</v>
      </c>
      <c r="V179" s="69">
        <v>307623</v>
      </c>
      <c r="W179" s="28" t="s">
        <v>747</v>
      </c>
      <c r="X179" s="29"/>
    </row>
    <row r="180" spans="1:29" hidden="1" x14ac:dyDescent="0.2">
      <c r="A180" s="29" t="s">
        <v>748</v>
      </c>
      <c r="B180" s="31" t="s">
        <v>571</v>
      </c>
      <c r="C180" s="31" t="s">
        <v>1040</v>
      </c>
      <c r="E180" s="31" t="s">
        <v>1047</v>
      </c>
      <c r="F180" s="36" t="s">
        <v>31</v>
      </c>
      <c r="G180" s="92" t="s">
        <v>749</v>
      </c>
      <c r="H180" s="70" t="s">
        <v>750</v>
      </c>
      <c r="I180" s="29" t="s">
        <v>55</v>
      </c>
      <c r="J180" s="29" t="s">
        <v>56</v>
      </c>
      <c r="K180" s="29" t="s">
        <v>576</v>
      </c>
      <c r="L180" s="56" t="s">
        <v>582</v>
      </c>
      <c r="M180" s="31" t="s">
        <v>751</v>
      </c>
      <c r="N180" s="31"/>
      <c r="O180" s="31"/>
      <c r="P180" s="31"/>
      <c r="Q180" s="31" t="s">
        <v>752</v>
      </c>
      <c r="R180" s="29" t="s">
        <v>8</v>
      </c>
      <c r="S180" s="63">
        <v>43857</v>
      </c>
      <c r="T180" s="67">
        <v>2063517</v>
      </c>
      <c r="U180" s="68">
        <v>2063517</v>
      </c>
      <c r="V180" s="69">
        <v>2063517</v>
      </c>
      <c r="W180" s="28" t="s">
        <v>753</v>
      </c>
      <c r="X180" s="29"/>
    </row>
    <row r="181" spans="1:29" hidden="1" x14ac:dyDescent="0.2">
      <c r="A181" s="29" t="s">
        <v>754</v>
      </c>
      <c r="B181" s="31" t="s">
        <v>571</v>
      </c>
      <c r="C181" s="31" t="s">
        <v>1040</v>
      </c>
      <c r="E181" s="31" t="s">
        <v>1041</v>
      </c>
      <c r="F181" s="36" t="s">
        <v>31</v>
      </c>
      <c r="G181" s="92" t="s">
        <v>755</v>
      </c>
      <c r="H181" s="70" t="s">
        <v>447</v>
      </c>
      <c r="I181" s="29" t="s">
        <v>55</v>
      </c>
      <c r="J181" s="29" t="s">
        <v>56</v>
      </c>
      <c r="K181" s="29" t="s">
        <v>756</v>
      </c>
      <c r="L181" s="56" t="s">
        <v>582</v>
      </c>
      <c r="M181" s="31" t="s">
        <v>714</v>
      </c>
      <c r="N181" s="31"/>
      <c r="O181" s="31"/>
      <c r="P181" s="31"/>
      <c r="Q181" s="29"/>
      <c r="R181" s="29" t="s">
        <v>5</v>
      </c>
      <c r="S181" s="63">
        <v>44470</v>
      </c>
      <c r="T181" s="67">
        <v>246265</v>
      </c>
      <c r="U181" s="68">
        <v>246365</v>
      </c>
      <c r="V181" s="69">
        <v>246365</v>
      </c>
      <c r="W181" s="28" t="s">
        <v>757</v>
      </c>
      <c r="X181" s="29"/>
    </row>
    <row r="182" spans="1:29" x14ac:dyDescent="0.2">
      <c r="A182" s="31" t="s">
        <v>758</v>
      </c>
      <c r="B182" s="31" t="s">
        <v>30</v>
      </c>
      <c r="C182" s="36" t="s">
        <v>1037</v>
      </c>
      <c r="D182" s="31" t="s">
        <v>762</v>
      </c>
      <c r="E182" s="31"/>
      <c r="F182" s="36" t="s">
        <v>31</v>
      </c>
      <c r="G182" s="31" t="s">
        <v>759</v>
      </c>
      <c r="H182" s="31" t="s">
        <v>760</v>
      </c>
      <c r="I182" s="31" t="s">
        <v>55</v>
      </c>
      <c r="J182" s="31" t="s">
        <v>56</v>
      </c>
      <c r="K182" s="31" t="s">
        <v>36</v>
      </c>
      <c r="L182" s="56" t="s">
        <v>101</v>
      </c>
      <c r="M182" s="31" t="s">
        <v>761</v>
      </c>
      <c r="N182" s="36" t="s">
        <v>1032</v>
      </c>
      <c r="O182" s="31"/>
      <c r="P182" s="31"/>
      <c r="Q182" s="31" t="s">
        <v>762</v>
      </c>
      <c r="R182" s="31" t="s">
        <v>5</v>
      </c>
      <c r="S182" s="29">
        <v>44593</v>
      </c>
      <c r="T182" s="67">
        <v>4955809</v>
      </c>
      <c r="U182" s="68"/>
      <c r="V182" s="69">
        <v>4955809</v>
      </c>
      <c r="W182" s="28" t="s">
        <v>763</v>
      </c>
      <c r="X182" s="29"/>
      <c r="Z182" s="75" t="s">
        <v>1048</v>
      </c>
      <c r="AA182" s="78">
        <v>1</v>
      </c>
      <c r="AB182" s="78">
        <v>3</v>
      </c>
      <c r="AC182" s="78">
        <v>3</v>
      </c>
    </row>
    <row r="183" spans="1:29" x14ac:dyDescent="0.2">
      <c r="A183" s="31" t="s">
        <v>764</v>
      </c>
      <c r="B183" s="31" t="s">
        <v>30</v>
      </c>
      <c r="C183" s="36" t="s">
        <v>1037</v>
      </c>
      <c r="D183" s="31" t="s">
        <v>762</v>
      </c>
      <c r="E183" s="31"/>
      <c r="F183" s="36" t="s">
        <v>31</v>
      </c>
      <c r="G183" s="29" t="s">
        <v>765</v>
      </c>
      <c r="H183" s="31" t="s">
        <v>766</v>
      </c>
      <c r="I183" s="31" t="s">
        <v>55</v>
      </c>
      <c r="J183" s="31" t="s">
        <v>35</v>
      </c>
      <c r="K183" s="31" t="s">
        <v>36</v>
      </c>
      <c r="L183" s="56" t="s">
        <v>101</v>
      </c>
      <c r="M183" s="31" t="s">
        <v>761</v>
      </c>
      <c r="N183" s="36" t="s">
        <v>1032</v>
      </c>
      <c r="O183" s="31"/>
      <c r="P183" s="31"/>
      <c r="Q183" s="31" t="s">
        <v>762</v>
      </c>
      <c r="R183" s="31" t="s">
        <v>5</v>
      </c>
      <c r="S183" s="63">
        <v>44682</v>
      </c>
      <c r="T183" s="67">
        <v>2477361</v>
      </c>
      <c r="U183" s="68"/>
      <c r="V183" s="69">
        <v>2477361</v>
      </c>
      <c r="W183" s="28" t="s">
        <v>767</v>
      </c>
      <c r="X183" s="29"/>
      <c r="Z183" s="75" t="s">
        <v>1049</v>
      </c>
      <c r="AA183" s="78">
        <v>1</v>
      </c>
      <c r="AB183" s="78">
        <v>3</v>
      </c>
      <c r="AC183" s="78">
        <v>4</v>
      </c>
    </row>
    <row r="184" spans="1:29" x14ac:dyDescent="0.2">
      <c r="A184" s="31" t="s">
        <v>768</v>
      </c>
      <c r="B184" s="31" t="s">
        <v>30</v>
      </c>
      <c r="C184" s="36" t="s">
        <v>1037</v>
      </c>
      <c r="D184" s="31" t="s">
        <v>762</v>
      </c>
      <c r="E184" s="31"/>
      <c r="F184" s="36" t="s">
        <v>31</v>
      </c>
      <c r="G184" s="29" t="s">
        <v>769</v>
      </c>
      <c r="H184" s="31" t="s">
        <v>150</v>
      </c>
      <c r="I184" s="31" t="s">
        <v>68</v>
      </c>
      <c r="J184" s="31" t="s">
        <v>35</v>
      </c>
      <c r="K184" s="31" t="s">
        <v>36</v>
      </c>
      <c r="L184" s="56" t="s">
        <v>95</v>
      </c>
      <c r="M184" s="31" t="s">
        <v>761</v>
      </c>
      <c r="N184" s="36" t="s">
        <v>1032</v>
      </c>
      <c r="O184" s="31"/>
      <c r="P184" s="31"/>
      <c r="Q184" s="31" t="s">
        <v>762</v>
      </c>
      <c r="R184" s="31" t="s">
        <v>5</v>
      </c>
      <c r="S184" s="63">
        <v>44697</v>
      </c>
      <c r="T184" s="67">
        <v>1288680</v>
      </c>
      <c r="U184" s="68"/>
      <c r="V184" s="69">
        <v>1288680</v>
      </c>
      <c r="W184" s="28" t="s">
        <v>770</v>
      </c>
      <c r="X184" s="29"/>
      <c r="AA184" s="78">
        <v>4</v>
      </c>
      <c r="AB184" s="78">
        <v>1</v>
      </c>
      <c r="AC184" s="78">
        <v>4</v>
      </c>
    </row>
    <row r="185" spans="1:29" x14ac:dyDescent="0.2">
      <c r="A185" s="31" t="s">
        <v>771</v>
      </c>
      <c r="B185" s="31" t="s">
        <v>30</v>
      </c>
      <c r="C185" s="36" t="s">
        <v>1037</v>
      </c>
      <c r="D185" s="31" t="s">
        <v>762</v>
      </c>
      <c r="E185" s="31"/>
      <c r="F185" s="36" t="s">
        <v>31</v>
      </c>
      <c r="G185" s="29" t="s">
        <v>772</v>
      </c>
      <c r="H185" s="31" t="s">
        <v>476</v>
      </c>
      <c r="I185" s="31" t="s">
        <v>46</v>
      </c>
      <c r="J185" s="31" t="s">
        <v>35</v>
      </c>
      <c r="K185" s="31" t="s">
        <v>36</v>
      </c>
      <c r="L185" s="56" t="s">
        <v>101</v>
      </c>
      <c r="M185" s="31" t="s">
        <v>761</v>
      </c>
      <c r="N185" s="36" t="s">
        <v>1032</v>
      </c>
      <c r="O185" s="31"/>
      <c r="P185" s="31"/>
      <c r="Q185" s="31" t="s">
        <v>762</v>
      </c>
      <c r="R185" s="31" t="s">
        <v>5</v>
      </c>
      <c r="S185" s="63">
        <v>44854</v>
      </c>
      <c r="T185" s="67">
        <v>5559243</v>
      </c>
      <c r="U185" s="68"/>
      <c r="V185" s="69">
        <v>5559243</v>
      </c>
      <c r="W185" s="28" t="s">
        <v>773</v>
      </c>
      <c r="X185" s="29"/>
      <c r="AA185" s="78">
        <v>1</v>
      </c>
      <c r="AB185" s="78">
        <v>4</v>
      </c>
      <c r="AC185" s="78">
        <v>4</v>
      </c>
    </row>
    <row r="186" spans="1:29" x14ac:dyDescent="0.2">
      <c r="A186" s="31" t="s">
        <v>774</v>
      </c>
      <c r="B186" s="31" t="s">
        <v>30</v>
      </c>
      <c r="C186" s="36" t="s">
        <v>1037</v>
      </c>
      <c r="D186" s="31" t="s">
        <v>762</v>
      </c>
      <c r="E186" s="31"/>
      <c r="F186" s="36" t="s">
        <v>31</v>
      </c>
      <c r="G186" s="29" t="s">
        <v>775</v>
      </c>
      <c r="H186" s="31" t="s">
        <v>316</v>
      </c>
      <c r="I186" s="31" t="s">
        <v>132</v>
      </c>
      <c r="J186" s="31" t="s">
        <v>133</v>
      </c>
      <c r="K186" s="31" t="s">
        <v>36</v>
      </c>
      <c r="L186" s="56" t="s">
        <v>101</v>
      </c>
      <c r="M186" s="31" t="s">
        <v>776</v>
      </c>
      <c r="N186" s="31" t="s">
        <v>1030</v>
      </c>
      <c r="O186" s="31" t="s">
        <v>776</v>
      </c>
      <c r="P186" s="31"/>
      <c r="Q186" s="31" t="s">
        <v>762</v>
      </c>
      <c r="R186" s="31" t="s">
        <v>5</v>
      </c>
      <c r="S186" s="63">
        <v>45017</v>
      </c>
      <c r="T186" s="67">
        <v>513372</v>
      </c>
      <c r="U186" s="68"/>
      <c r="V186" s="69">
        <v>513372</v>
      </c>
      <c r="W186" s="28" t="s">
        <v>777</v>
      </c>
      <c r="X186" s="29"/>
      <c r="Y186" s="75" t="s">
        <v>1031</v>
      </c>
      <c r="Z186" s="75" t="s">
        <v>1050</v>
      </c>
      <c r="AA186">
        <v>4</v>
      </c>
      <c r="AB186">
        <v>1</v>
      </c>
      <c r="AC186">
        <v>4</v>
      </c>
    </row>
    <row r="187" spans="1:29" x14ac:dyDescent="0.2">
      <c r="A187" s="31" t="s">
        <v>778</v>
      </c>
      <c r="B187" s="31" t="s">
        <v>30</v>
      </c>
      <c r="C187" s="36" t="s">
        <v>1037</v>
      </c>
      <c r="D187" s="31" t="s">
        <v>762</v>
      </c>
      <c r="E187" s="31"/>
      <c r="F187" s="36" t="s">
        <v>31</v>
      </c>
      <c r="G187" s="29" t="s">
        <v>779</v>
      </c>
      <c r="H187" s="31" t="s">
        <v>780</v>
      </c>
      <c r="I187" s="31" t="s">
        <v>781</v>
      </c>
      <c r="J187" s="31" t="s">
        <v>35</v>
      </c>
      <c r="K187" s="31" t="s">
        <v>36</v>
      </c>
      <c r="L187" s="56" t="s">
        <v>101</v>
      </c>
      <c r="M187" s="31" t="s">
        <v>776</v>
      </c>
      <c r="N187" s="31" t="s">
        <v>1030</v>
      </c>
      <c r="O187" s="31" t="s">
        <v>776</v>
      </c>
      <c r="P187" s="31"/>
      <c r="Q187" s="31" t="s">
        <v>762</v>
      </c>
      <c r="R187" s="31" t="s">
        <v>5</v>
      </c>
      <c r="S187" s="63">
        <v>45017</v>
      </c>
      <c r="T187" s="67">
        <v>509875</v>
      </c>
      <c r="U187" s="68"/>
      <c r="V187" s="69">
        <v>509875</v>
      </c>
      <c r="W187" s="28" t="s">
        <v>782</v>
      </c>
      <c r="X187" s="29"/>
      <c r="Y187" s="75" t="s">
        <v>1031</v>
      </c>
      <c r="Z187" s="75" t="s">
        <v>1050</v>
      </c>
      <c r="AA187">
        <v>4</v>
      </c>
      <c r="AB187">
        <v>1</v>
      </c>
      <c r="AC187">
        <v>4</v>
      </c>
    </row>
    <row r="188" spans="1:29" x14ac:dyDescent="0.2">
      <c r="A188" s="29" t="s">
        <v>783</v>
      </c>
      <c r="B188" s="31" t="s">
        <v>30</v>
      </c>
      <c r="C188" s="36" t="s">
        <v>1037</v>
      </c>
      <c r="D188" s="31" t="s">
        <v>762</v>
      </c>
      <c r="E188" s="31"/>
      <c r="F188" s="36" t="s">
        <v>31</v>
      </c>
      <c r="G188" s="29" t="s">
        <v>784</v>
      </c>
      <c r="H188" s="31" t="s">
        <v>785</v>
      </c>
      <c r="I188" s="31" t="s">
        <v>297</v>
      </c>
      <c r="J188" s="31" t="s">
        <v>35</v>
      </c>
      <c r="K188" s="31" t="s">
        <v>36</v>
      </c>
      <c r="L188" s="56" t="s">
        <v>101</v>
      </c>
      <c r="M188" s="31" t="s">
        <v>776</v>
      </c>
      <c r="N188" s="31" t="s">
        <v>1030</v>
      </c>
      <c r="O188" s="31" t="s">
        <v>776</v>
      </c>
      <c r="P188" s="31"/>
      <c r="Q188" s="31" t="s">
        <v>762</v>
      </c>
      <c r="R188" s="31" t="s">
        <v>5</v>
      </c>
      <c r="S188" s="63">
        <v>44958</v>
      </c>
      <c r="T188" s="67">
        <v>378925</v>
      </c>
      <c r="U188" s="68"/>
      <c r="V188" s="69">
        <v>378925</v>
      </c>
      <c r="W188" s="28" t="s">
        <v>786</v>
      </c>
      <c r="X188" s="29"/>
      <c r="Y188" s="75" t="s">
        <v>1031</v>
      </c>
      <c r="Z188" s="75" t="s">
        <v>1050</v>
      </c>
      <c r="AA188">
        <v>4</v>
      </c>
      <c r="AB188">
        <v>1</v>
      </c>
      <c r="AC188">
        <v>4</v>
      </c>
    </row>
    <row r="189" spans="1:29" x14ac:dyDescent="0.2">
      <c r="A189" s="31" t="s">
        <v>787</v>
      </c>
      <c r="B189" s="31" t="s">
        <v>30</v>
      </c>
      <c r="C189" s="36" t="s">
        <v>1037</v>
      </c>
      <c r="D189" s="31" t="s">
        <v>762</v>
      </c>
      <c r="E189" s="31"/>
      <c r="F189" s="36" t="s">
        <v>31</v>
      </c>
      <c r="G189" s="29" t="s">
        <v>788</v>
      </c>
      <c r="H189" s="31" t="s">
        <v>789</v>
      </c>
      <c r="I189" s="31" t="s">
        <v>790</v>
      </c>
      <c r="J189" s="31" t="s">
        <v>133</v>
      </c>
      <c r="K189" s="31" t="s">
        <v>36</v>
      </c>
      <c r="L189" s="56" t="s">
        <v>101</v>
      </c>
      <c r="M189" s="31" t="s">
        <v>776</v>
      </c>
      <c r="N189" s="31" t="s">
        <v>1030</v>
      </c>
      <c r="O189" s="31" t="s">
        <v>776</v>
      </c>
      <c r="P189" s="31"/>
      <c r="Q189" s="31" t="s">
        <v>762</v>
      </c>
      <c r="R189" s="31" t="s">
        <v>5</v>
      </c>
      <c r="S189" s="63">
        <v>44896</v>
      </c>
      <c r="T189" s="67">
        <v>509905</v>
      </c>
      <c r="U189" s="68"/>
      <c r="V189" s="69">
        <v>509905</v>
      </c>
      <c r="W189" s="28" t="s">
        <v>791</v>
      </c>
      <c r="X189" s="29"/>
      <c r="Y189" s="75" t="s">
        <v>1031</v>
      </c>
      <c r="Z189" s="75" t="s">
        <v>1050</v>
      </c>
      <c r="AA189">
        <v>4</v>
      </c>
      <c r="AB189">
        <v>1</v>
      </c>
      <c r="AC189">
        <v>4</v>
      </c>
    </row>
    <row r="190" spans="1:29" x14ac:dyDescent="0.2">
      <c r="A190" s="31" t="s">
        <v>792</v>
      </c>
      <c r="B190" s="31" t="s">
        <v>30</v>
      </c>
      <c r="C190" s="36" t="s">
        <v>1037</v>
      </c>
      <c r="D190" s="31" t="s">
        <v>762</v>
      </c>
      <c r="E190" s="31"/>
      <c r="F190" s="36" t="s">
        <v>31</v>
      </c>
      <c r="G190" s="29" t="s">
        <v>793</v>
      </c>
      <c r="H190" s="31" t="s">
        <v>794</v>
      </c>
      <c r="I190" s="31" t="s">
        <v>46</v>
      </c>
      <c r="J190" s="31" t="s">
        <v>35</v>
      </c>
      <c r="K190" s="31" t="s">
        <v>36</v>
      </c>
      <c r="L190" s="56" t="s">
        <v>101</v>
      </c>
      <c r="M190" s="31" t="s">
        <v>776</v>
      </c>
      <c r="N190" s="31" t="s">
        <v>1030</v>
      </c>
      <c r="O190" s="31" t="s">
        <v>776</v>
      </c>
      <c r="P190" s="31"/>
      <c r="Q190" s="31" t="s">
        <v>762</v>
      </c>
      <c r="R190" s="31" t="s">
        <v>5</v>
      </c>
      <c r="S190" s="63">
        <v>44835</v>
      </c>
      <c r="T190" s="67">
        <v>565228</v>
      </c>
      <c r="U190" s="68"/>
      <c r="V190" s="69">
        <v>565228</v>
      </c>
      <c r="W190" s="28" t="s">
        <v>795</v>
      </c>
      <c r="X190" s="29"/>
      <c r="Y190" s="75" t="s">
        <v>1031</v>
      </c>
      <c r="Z190" s="75" t="s">
        <v>1050</v>
      </c>
      <c r="AA190">
        <v>4</v>
      </c>
      <c r="AB190">
        <v>1</v>
      </c>
      <c r="AC190">
        <v>4</v>
      </c>
    </row>
    <row r="191" spans="1:29" x14ac:dyDescent="0.2">
      <c r="A191" s="31" t="s">
        <v>796</v>
      </c>
      <c r="B191" s="31" t="s">
        <v>30</v>
      </c>
      <c r="C191" s="36" t="s">
        <v>1037</v>
      </c>
      <c r="D191" s="31" t="s">
        <v>762</v>
      </c>
      <c r="E191" s="31"/>
      <c r="F191" s="36" t="s">
        <v>31</v>
      </c>
      <c r="G191" s="29" t="s">
        <v>797</v>
      </c>
      <c r="H191" s="31" t="s">
        <v>798</v>
      </c>
      <c r="I191" s="31" t="s">
        <v>55</v>
      </c>
      <c r="J191" s="31" t="s">
        <v>56</v>
      </c>
      <c r="K191" s="31" t="s">
        <v>36</v>
      </c>
      <c r="L191" s="56" t="s">
        <v>95</v>
      </c>
      <c r="M191" s="31" t="s">
        <v>776</v>
      </c>
      <c r="N191" s="31" t="s">
        <v>1030</v>
      </c>
      <c r="O191" s="31" t="s">
        <v>776</v>
      </c>
      <c r="P191" s="31"/>
      <c r="Q191" s="31" t="s">
        <v>762</v>
      </c>
      <c r="R191" s="31" t="s">
        <v>5</v>
      </c>
      <c r="S191" s="63">
        <v>45170</v>
      </c>
      <c r="T191" s="67">
        <v>176005</v>
      </c>
      <c r="U191" s="68"/>
      <c r="V191" s="69">
        <v>176005</v>
      </c>
      <c r="W191" s="28" t="s">
        <v>799</v>
      </c>
      <c r="X191" s="29"/>
      <c r="Y191" s="75" t="s">
        <v>1031</v>
      </c>
      <c r="Z191" s="75" t="s">
        <v>1050</v>
      </c>
      <c r="AA191">
        <v>4</v>
      </c>
      <c r="AB191">
        <v>1</v>
      </c>
      <c r="AC191">
        <v>4</v>
      </c>
    </row>
    <row r="192" spans="1:29" x14ac:dyDescent="0.2">
      <c r="A192" s="31" t="s">
        <v>800</v>
      </c>
      <c r="B192" s="31" t="s">
        <v>30</v>
      </c>
      <c r="C192" s="36" t="s">
        <v>1037</v>
      </c>
      <c r="D192" s="31" t="s">
        <v>762</v>
      </c>
      <c r="E192" s="31"/>
      <c r="F192" s="36" t="s">
        <v>31</v>
      </c>
      <c r="G192" s="29" t="s">
        <v>801</v>
      </c>
      <c r="H192" s="31" t="s">
        <v>802</v>
      </c>
      <c r="I192" s="31" t="s">
        <v>46</v>
      </c>
      <c r="J192" s="31" t="s">
        <v>35</v>
      </c>
      <c r="K192" s="31" t="s">
        <v>36</v>
      </c>
      <c r="L192" s="56" t="s">
        <v>101</v>
      </c>
      <c r="M192" s="31" t="s">
        <v>776</v>
      </c>
      <c r="N192" s="31" t="s">
        <v>1030</v>
      </c>
      <c r="O192" s="31" t="s">
        <v>776</v>
      </c>
      <c r="P192" s="31"/>
      <c r="Q192" s="31" t="s">
        <v>762</v>
      </c>
      <c r="R192" s="31" t="s">
        <v>5</v>
      </c>
      <c r="S192" s="63">
        <v>44835</v>
      </c>
      <c r="T192" s="67">
        <v>556300</v>
      </c>
      <c r="U192" s="68"/>
      <c r="V192" s="69">
        <v>556300</v>
      </c>
      <c r="W192" s="28" t="s">
        <v>803</v>
      </c>
      <c r="X192" s="29"/>
      <c r="Y192" s="75" t="s">
        <v>1031</v>
      </c>
      <c r="Z192" s="75" t="s">
        <v>1050</v>
      </c>
      <c r="AA192">
        <v>4</v>
      </c>
      <c r="AB192">
        <v>1</v>
      </c>
      <c r="AC192">
        <v>4</v>
      </c>
    </row>
    <row r="193" spans="1:29" x14ac:dyDescent="0.2">
      <c r="A193" s="31" t="s">
        <v>804</v>
      </c>
      <c r="B193" s="31" t="s">
        <v>30</v>
      </c>
      <c r="C193" s="36" t="s">
        <v>1037</v>
      </c>
      <c r="D193" s="31" t="s">
        <v>762</v>
      </c>
      <c r="E193" s="31"/>
      <c r="F193" s="36" t="s">
        <v>31</v>
      </c>
      <c r="G193" s="29" t="s">
        <v>805</v>
      </c>
      <c r="H193" s="31" t="s">
        <v>806</v>
      </c>
      <c r="I193" s="31" t="s">
        <v>55</v>
      </c>
      <c r="J193" s="31" t="s">
        <v>56</v>
      </c>
      <c r="K193" s="31" t="s">
        <v>36</v>
      </c>
      <c r="L193" s="56" t="s">
        <v>101</v>
      </c>
      <c r="M193" s="31" t="s">
        <v>776</v>
      </c>
      <c r="N193" s="31" t="s">
        <v>1030</v>
      </c>
      <c r="O193" s="31" t="s">
        <v>776</v>
      </c>
      <c r="P193" s="31"/>
      <c r="Q193" s="31" t="s">
        <v>762</v>
      </c>
      <c r="R193" s="31" t="s">
        <v>5</v>
      </c>
      <c r="S193" s="63">
        <v>45108</v>
      </c>
      <c r="T193" s="67">
        <v>470546</v>
      </c>
      <c r="U193" s="68"/>
      <c r="V193" s="69">
        <v>470546</v>
      </c>
      <c r="W193" s="28" t="s">
        <v>807</v>
      </c>
      <c r="X193" s="29"/>
      <c r="Y193" s="75" t="s">
        <v>1031</v>
      </c>
      <c r="Z193" s="75" t="s">
        <v>1050</v>
      </c>
      <c r="AA193">
        <v>4</v>
      </c>
      <c r="AB193">
        <v>1</v>
      </c>
      <c r="AC193">
        <v>4</v>
      </c>
    </row>
    <row r="194" spans="1:29" x14ac:dyDescent="0.2">
      <c r="A194" s="31" t="s">
        <v>808</v>
      </c>
      <c r="B194" s="31" t="s">
        <v>30</v>
      </c>
      <c r="C194" s="36" t="s">
        <v>1037</v>
      </c>
      <c r="D194" s="31" t="s">
        <v>762</v>
      </c>
      <c r="E194" s="31"/>
      <c r="F194" s="36" t="s">
        <v>31</v>
      </c>
      <c r="G194" s="29" t="s">
        <v>809</v>
      </c>
      <c r="H194" s="31" t="s">
        <v>810</v>
      </c>
      <c r="I194" s="31" t="s">
        <v>811</v>
      </c>
      <c r="J194" s="31" t="s">
        <v>35</v>
      </c>
      <c r="K194" s="31" t="s">
        <v>36</v>
      </c>
      <c r="L194" s="56" t="s">
        <v>95</v>
      </c>
      <c r="M194" s="31" t="s">
        <v>776</v>
      </c>
      <c r="N194" s="31" t="s">
        <v>1030</v>
      </c>
      <c r="O194" s="31" t="s">
        <v>776</v>
      </c>
      <c r="P194" s="31"/>
      <c r="Q194" s="31" t="s">
        <v>762</v>
      </c>
      <c r="R194" s="31" t="s">
        <v>5</v>
      </c>
      <c r="S194" s="63">
        <v>44927</v>
      </c>
      <c r="T194" s="67">
        <v>524866</v>
      </c>
      <c r="U194" s="68"/>
      <c r="V194" s="69">
        <v>524866</v>
      </c>
      <c r="W194" s="28" t="s">
        <v>812</v>
      </c>
      <c r="X194" s="29"/>
      <c r="Y194" s="75" t="s">
        <v>1031</v>
      </c>
      <c r="Z194" s="75" t="s">
        <v>1050</v>
      </c>
      <c r="AA194">
        <v>4</v>
      </c>
      <c r="AB194">
        <v>1</v>
      </c>
      <c r="AC194">
        <v>4</v>
      </c>
    </row>
    <row r="195" spans="1:29" x14ac:dyDescent="0.2">
      <c r="A195" s="31" t="s">
        <v>813</v>
      </c>
      <c r="B195" s="31" t="s">
        <v>30</v>
      </c>
      <c r="C195" s="36" t="s">
        <v>1037</v>
      </c>
      <c r="D195" s="31" t="s">
        <v>762</v>
      </c>
      <c r="E195" s="31"/>
      <c r="F195" s="36" t="s">
        <v>31</v>
      </c>
      <c r="G195" s="29" t="s">
        <v>814</v>
      </c>
      <c r="H195" s="31" t="s">
        <v>766</v>
      </c>
      <c r="I195" s="31" t="s">
        <v>815</v>
      </c>
      <c r="J195" s="31" t="s">
        <v>56</v>
      </c>
      <c r="K195" s="31" t="s">
        <v>36</v>
      </c>
      <c r="L195" s="56" t="s">
        <v>101</v>
      </c>
      <c r="M195" s="31" t="s">
        <v>776</v>
      </c>
      <c r="N195" s="31" t="s">
        <v>1030</v>
      </c>
      <c r="O195" s="31" t="s">
        <v>776</v>
      </c>
      <c r="P195" s="31"/>
      <c r="Q195" s="31" t="s">
        <v>762</v>
      </c>
      <c r="R195" s="31" t="s">
        <v>5</v>
      </c>
      <c r="S195" s="63">
        <v>45078</v>
      </c>
      <c r="T195" s="67">
        <v>533798</v>
      </c>
      <c r="U195" s="68"/>
      <c r="V195" s="69">
        <v>533798</v>
      </c>
      <c r="W195" s="28" t="s">
        <v>816</v>
      </c>
      <c r="X195" s="29"/>
      <c r="Y195" s="75" t="s">
        <v>1031</v>
      </c>
      <c r="Z195" s="75" t="s">
        <v>1050</v>
      </c>
      <c r="AA195">
        <v>4</v>
      </c>
      <c r="AB195">
        <v>1</v>
      </c>
      <c r="AC195">
        <v>4</v>
      </c>
    </row>
    <row r="196" spans="1:29" x14ac:dyDescent="0.2">
      <c r="A196" s="31" t="s">
        <v>817</v>
      </c>
      <c r="B196" s="31" t="s">
        <v>30</v>
      </c>
      <c r="C196" s="36" t="s">
        <v>1037</v>
      </c>
      <c r="D196" s="31" t="s">
        <v>762</v>
      </c>
      <c r="E196" s="31"/>
      <c r="F196" s="36" t="s">
        <v>31</v>
      </c>
      <c r="G196" s="29" t="s">
        <v>818</v>
      </c>
      <c r="H196" s="31" t="s">
        <v>78</v>
      </c>
      <c r="I196" s="31" t="s">
        <v>55</v>
      </c>
      <c r="J196" s="31" t="s">
        <v>56</v>
      </c>
      <c r="K196" s="31" t="s">
        <v>36</v>
      </c>
      <c r="L196" s="56" t="s">
        <v>47</v>
      </c>
      <c r="M196" s="31" t="s">
        <v>776</v>
      </c>
      <c r="N196" s="31" t="s">
        <v>1030</v>
      </c>
      <c r="O196" s="31" t="s">
        <v>776</v>
      </c>
      <c r="P196" s="31"/>
      <c r="Q196" s="31" t="s">
        <v>762</v>
      </c>
      <c r="R196" s="31" t="s">
        <v>5</v>
      </c>
      <c r="S196" s="63">
        <v>44866</v>
      </c>
      <c r="T196" s="67">
        <v>519891</v>
      </c>
      <c r="U196" s="68"/>
      <c r="V196" s="69">
        <v>519891</v>
      </c>
      <c r="W196" s="28" t="s">
        <v>819</v>
      </c>
      <c r="X196" s="29"/>
      <c r="Y196" s="75" t="s">
        <v>1031</v>
      </c>
      <c r="Z196" s="75" t="s">
        <v>1050</v>
      </c>
      <c r="AA196">
        <v>4</v>
      </c>
      <c r="AB196">
        <v>1</v>
      </c>
      <c r="AC196">
        <v>4</v>
      </c>
    </row>
    <row r="197" spans="1:29" x14ac:dyDescent="0.2">
      <c r="A197" s="31" t="s">
        <v>820</v>
      </c>
      <c r="B197" s="31" t="s">
        <v>30</v>
      </c>
      <c r="C197" s="36" t="s">
        <v>1037</v>
      </c>
      <c r="D197" s="31" t="s">
        <v>762</v>
      </c>
      <c r="E197" s="31"/>
      <c r="F197" s="36" t="s">
        <v>31</v>
      </c>
      <c r="G197" s="29" t="s">
        <v>821</v>
      </c>
      <c r="H197" s="31" t="s">
        <v>822</v>
      </c>
      <c r="I197" s="31" t="s">
        <v>823</v>
      </c>
      <c r="J197" s="31" t="s">
        <v>35</v>
      </c>
      <c r="K197" s="31" t="s">
        <v>36</v>
      </c>
      <c r="L197" s="56" t="s">
        <v>101</v>
      </c>
      <c r="M197" s="31" t="s">
        <v>776</v>
      </c>
      <c r="N197" s="31" t="s">
        <v>1030</v>
      </c>
      <c r="O197" s="31" t="s">
        <v>776</v>
      </c>
      <c r="P197" s="31"/>
      <c r="Q197" s="31" t="s">
        <v>762</v>
      </c>
      <c r="R197" s="31" t="s">
        <v>5</v>
      </c>
      <c r="S197" s="63">
        <v>44837</v>
      </c>
      <c r="T197" s="67">
        <v>504479</v>
      </c>
      <c r="U197" s="68"/>
      <c r="V197" s="69">
        <v>504479</v>
      </c>
      <c r="W197" s="28" t="s">
        <v>824</v>
      </c>
      <c r="X197" s="29"/>
      <c r="Y197" s="75" t="s">
        <v>1031</v>
      </c>
      <c r="Z197" s="75" t="s">
        <v>1050</v>
      </c>
      <c r="AA197">
        <v>4</v>
      </c>
      <c r="AB197">
        <v>1</v>
      </c>
      <c r="AC197">
        <v>4</v>
      </c>
    </row>
    <row r="198" spans="1:29" x14ac:dyDescent="0.2">
      <c r="A198" s="31" t="s">
        <v>825</v>
      </c>
      <c r="B198" s="31" t="s">
        <v>30</v>
      </c>
      <c r="C198" s="36" t="s">
        <v>1037</v>
      </c>
      <c r="D198" s="31" t="s">
        <v>762</v>
      </c>
      <c r="E198" s="31"/>
      <c r="F198" s="36" t="s">
        <v>31</v>
      </c>
      <c r="G198" s="29" t="s">
        <v>826</v>
      </c>
      <c r="H198" s="31" t="s">
        <v>827</v>
      </c>
      <c r="I198" s="31" t="s">
        <v>34</v>
      </c>
      <c r="J198" s="31" t="s">
        <v>35</v>
      </c>
      <c r="K198" s="31" t="s">
        <v>36</v>
      </c>
      <c r="L198" s="56" t="s">
        <v>101</v>
      </c>
      <c r="M198" s="31" t="s">
        <v>776</v>
      </c>
      <c r="N198" s="31" t="s">
        <v>1030</v>
      </c>
      <c r="O198" s="31" t="s">
        <v>776</v>
      </c>
      <c r="P198" s="31"/>
      <c r="Q198" s="31" t="s">
        <v>762</v>
      </c>
      <c r="R198" s="31" t="s">
        <v>5</v>
      </c>
      <c r="S198" s="63">
        <v>45047</v>
      </c>
      <c r="T198" s="67">
        <v>534931</v>
      </c>
      <c r="U198" s="68"/>
      <c r="V198" s="69">
        <v>534931</v>
      </c>
      <c r="W198" s="28" t="s">
        <v>828</v>
      </c>
      <c r="X198" s="29"/>
      <c r="Y198" s="75" t="s">
        <v>1031</v>
      </c>
      <c r="Z198" s="75" t="s">
        <v>1050</v>
      </c>
      <c r="AA198">
        <v>4</v>
      </c>
      <c r="AB198">
        <v>1</v>
      </c>
      <c r="AC198">
        <v>4</v>
      </c>
    </row>
    <row r="199" spans="1:29" x14ac:dyDescent="0.2">
      <c r="A199" s="31" t="s">
        <v>829</v>
      </c>
      <c r="B199" s="31" t="s">
        <v>30</v>
      </c>
      <c r="C199" s="36" t="s">
        <v>1037</v>
      </c>
      <c r="D199" s="31" t="s">
        <v>762</v>
      </c>
      <c r="E199" s="31"/>
      <c r="F199" s="36" t="s">
        <v>31</v>
      </c>
      <c r="G199" s="29" t="s">
        <v>830</v>
      </c>
      <c r="H199" s="31" t="s">
        <v>831</v>
      </c>
      <c r="I199" s="31" t="s">
        <v>55</v>
      </c>
      <c r="J199" s="31" t="s">
        <v>56</v>
      </c>
      <c r="K199" s="31" t="s">
        <v>36</v>
      </c>
      <c r="L199" s="56" t="s">
        <v>101</v>
      </c>
      <c r="M199" s="31" t="s">
        <v>776</v>
      </c>
      <c r="N199" s="31" t="s">
        <v>1030</v>
      </c>
      <c r="O199" s="31" t="s">
        <v>776</v>
      </c>
      <c r="P199" s="31"/>
      <c r="Q199" s="31" t="s">
        <v>762</v>
      </c>
      <c r="R199" s="31" t="s">
        <v>5</v>
      </c>
      <c r="S199" s="63">
        <v>45078</v>
      </c>
      <c r="T199" s="67">
        <v>393393</v>
      </c>
      <c r="U199" s="68"/>
      <c r="V199" s="69">
        <v>393393</v>
      </c>
      <c r="W199" s="28" t="s">
        <v>832</v>
      </c>
      <c r="X199" s="29"/>
      <c r="Y199" s="75" t="s">
        <v>1031</v>
      </c>
      <c r="Z199" s="75" t="s">
        <v>1050</v>
      </c>
      <c r="AA199">
        <v>4</v>
      </c>
      <c r="AB199">
        <v>1</v>
      </c>
      <c r="AC199">
        <v>4</v>
      </c>
    </row>
    <row r="200" spans="1:29" x14ac:dyDescent="0.2">
      <c r="A200" s="31" t="s">
        <v>833</v>
      </c>
      <c r="B200" s="31" t="s">
        <v>30</v>
      </c>
      <c r="C200" s="36" t="s">
        <v>1037</v>
      </c>
      <c r="D200" s="31" t="s">
        <v>762</v>
      </c>
      <c r="E200" s="31"/>
      <c r="F200" s="36" t="s">
        <v>31</v>
      </c>
      <c r="G200" s="29" t="s">
        <v>834</v>
      </c>
      <c r="H200" s="31" t="s">
        <v>381</v>
      </c>
      <c r="I200" s="31" t="s">
        <v>55</v>
      </c>
      <c r="J200" s="31" t="s">
        <v>56</v>
      </c>
      <c r="K200" s="31" t="s">
        <v>36</v>
      </c>
      <c r="L200" s="56" t="s">
        <v>101</v>
      </c>
      <c r="M200" s="31" t="s">
        <v>776</v>
      </c>
      <c r="N200" s="31" t="s">
        <v>1030</v>
      </c>
      <c r="O200" s="31" t="s">
        <v>776</v>
      </c>
      <c r="P200" s="31"/>
      <c r="Q200" s="31" t="s">
        <v>762</v>
      </c>
      <c r="R200" s="31" t="s">
        <v>5</v>
      </c>
      <c r="S200" s="63">
        <v>45139</v>
      </c>
      <c r="T200" s="67">
        <v>460648</v>
      </c>
      <c r="U200" s="68"/>
      <c r="V200" s="69">
        <v>460648</v>
      </c>
      <c r="W200" s="28" t="s">
        <v>835</v>
      </c>
      <c r="X200" s="29"/>
      <c r="Y200" s="75" t="s">
        <v>1031</v>
      </c>
      <c r="Z200" s="75" t="s">
        <v>1050</v>
      </c>
      <c r="AA200">
        <v>4</v>
      </c>
      <c r="AB200">
        <v>1</v>
      </c>
      <c r="AC200">
        <v>4</v>
      </c>
    </row>
    <row r="201" spans="1:29" x14ac:dyDescent="0.2">
      <c r="A201" s="31" t="s">
        <v>836</v>
      </c>
      <c r="B201" s="31" t="s">
        <v>30</v>
      </c>
      <c r="C201" s="36" t="s">
        <v>1037</v>
      </c>
      <c r="D201" s="31" t="s">
        <v>762</v>
      </c>
      <c r="E201" s="31"/>
      <c r="F201" s="36" t="s">
        <v>31</v>
      </c>
      <c r="G201" s="29" t="s">
        <v>837</v>
      </c>
      <c r="H201" s="31" t="s">
        <v>838</v>
      </c>
      <c r="I201" s="31" t="s">
        <v>242</v>
      </c>
      <c r="J201" s="31" t="s">
        <v>133</v>
      </c>
      <c r="K201" s="31" t="s">
        <v>36</v>
      </c>
      <c r="L201" s="56" t="s">
        <v>101</v>
      </c>
      <c r="M201" s="31" t="s">
        <v>776</v>
      </c>
      <c r="N201" s="31" t="s">
        <v>1030</v>
      </c>
      <c r="O201" s="31" t="s">
        <v>776</v>
      </c>
      <c r="P201" s="31"/>
      <c r="Q201" s="31" t="s">
        <v>762</v>
      </c>
      <c r="R201" s="31" t="s">
        <v>5</v>
      </c>
      <c r="S201" s="63">
        <v>44941</v>
      </c>
      <c r="T201" s="67">
        <v>514354.69</v>
      </c>
      <c r="U201" s="68"/>
      <c r="V201" s="69">
        <v>514354.69</v>
      </c>
      <c r="W201" s="28" t="s">
        <v>839</v>
      </c>
      <c r="X201" s="29"/>
      <c r="Y201" s="75" t="s">
        <v>1031</v>
      </c>
      <c r="Z201" s="75" t="s">
        <v>1050</v>
      </c>
      <c r="AA201">
        <v>4</v>
      </c>
      <c r="AB201">
        <v>1</v>
      </c>
      <c r="AC201">
        <v>4</v>
      </c>
    </row>
    <row r="202" spans="1:29" x14ac:dyDescent="0.2">
      <c r="A202" s="31" t="s">
        <v>840</v>
      </c>
      <c r="B202" s="31" t="s">
        <v>30</v>
      </c>
      <c r="C202" s="36" t="s">
        <v>1037</v>
      </c>
      <c r="D202" s="31" t="s">
        <v>762</v>
      </c>
      <c r="E202" s="31"/>
      <c r="F202" s="36" t="s">
        <v>31</v>
      </c>
      <c r="G202" s="29" t="s">
        <v>841</v>
      </c>
      <c r="H202" s="31" t="s">
        <v>842</v>
      </c>
      <c r="I202" s="31" t="s">
        <v>55</v>
      </c>
      <c r="J202" s="31" t="s">
        <v>56</v>
      </c>
      <c r="K202" s="31" t="s">
        <v>36</v>
      </c>
      <c r="L202" s="56" t="s">
        <v>101</v>
      </c>
      <c r="M202" s="31" t="s">
        <v>776</v>
      </c>
      <c r="N202" s="31" t="s">
        <v>1030</v>
      </c>
      <c r="O202" s="31" t="s">
        <v>776</v>
      </c>
      <c r="P202" s="31"/>
      <c r="Q202" s="31" t="s">
        <v>762</v>
      </c>
      <c r="R202" s="31" t="s">
        <v>5</v>
      </c>
      <c r="S202" s="63">
        <v>45017</v>
      </c>
      <c r="T202" s="67">
        <v>508827</v>
      </c>
      <c r="U202" s="68"/>
      <c r="V202" s="69">
        <v>508827</v>
      </c>
      <c r="W202" s="28" t="s">
        <v>843</v>
      </c>
      <c r="X202" s="29"/>
      <c r="Y202" s="75" t="s">
        <v>1031</v>
      </c>
      <c r="Z202" s="75" t="s">
        <v>1050</v>
      </c>
      <c r="AA202">
        <v>4</v>
      </c>
      <c r="AB202">
        <v>1</v>
      </c>
      <c r="AC202">
        <v>4</v>
      </c>
    </row>
    <row r="203" spans="1:29" x14ac:dyDescent="0.2">
      <c r="A203" s="31" t="s">
        <v>844</v>
      </c>
      <c r="B203" s="31" t="s">
        <v>30</v>
      </c>
      <c r="C203" s="36" t="s">
        <v>1037</v>
      </c>
      <c r="D203" s="31" t="s">
        <v>762</v>
      </c>
      <c r="E203" s="31"/>
      <c r="F203" s="36" t="s">
        <v>31</v>
      </c>
      <c r="G203" s="29" t="s">
        <v>845</v>
      </c>
      <c r="H203" s="31" t="s">
        <v>846</v>
      </c>
      <c r="I203" s="31" t="s">
        <v>46</v>
      </c>
      <c r="J203" s="31" t="s">
        <v>35</v>
      </c>
      <c r="K203" s="31" t="s">
        <v>36</v>
      </c>
      <c r="L203" s="56" t="s">
        <v>101</v>
      </c>
      <c r="M203" s="31" t="s">
        <v>776</v>
      </c>
      <c r="N203" s="31" t="s">
        <v>1030</v>
      </c>
      <c r="O203" s="31" t="s">
        <v>776</v>
      </c>
      <c r="P203" s="31"/>
      <c r="Q203" s="31" t="s">
        <v>762</v>
      </c>
      <c r="R203" s="31" t="s">
        <v>5</v>
      </c>
      <c r="S203" s="63">
        <v>44927</v>
      </c>
      <c r="T203" s="67">
        <v>566937</v>
      </c>
      <c r="U203" s="68"/>
      <c r="V203" s="69">
        <v>566937</v>
      </c>
      <c r="W203" s="28" t="s">
        <v>847</v>
      </c>
      <c r="X203" s="29"/>
      <c r="Y203" s="75" t="s">
        <v>1031</v>
      </c>
      <c r="Z203" s="75" t="s">
        <v>1050</v>
      </c>
      <c r="AA203">
        <v>4</v>
      </c>
      <c r="AB203">
        <v>1</v>
      </c>
      <c r="AC203">
        <v>4</v>
      </c>
    </row>
    <row r="204" spans="1:29" x14ac:dyDescent="0.2">
      <c r="A204" s="31" t="s">
        <v>848</v>
      </c>
      <c r="B204" s="31" t="s">
        <v>30</v>
      </c>
      <c r="C204" s="36" t="s">
        <v>1037</v>
      </c>
      <c r="D204" s="31" t="s">
        <v>762</v>
      </c>
      <c r="E204" s="31"/>
      <c r="F204" s="36" t="s">
        <v>31</v>
      </c>
      <c r="G204" s="29" t="s">
        <v>849</v>
      </c>
      <c r="H204" s="31" t="s">
        <v>850</v>
      </c>
      <c r="I204" s="31" t="s">
        <v>46</v>
      </c>
      <c r="J204" s="31" t="s">
        <v>35</v>
      </c>
      <c r="K204" s="31" t="s">
        <v>36</v>
      </c>
      <c r="L204" s="56" t="s">
        <v>101</v>
      </c>
      <c r="M204" s="31" t="s">
        <v>776</v>
      </c>
      <c r="N204" s="31" t="s">
        <v>1030</v>
      </c>
      <c r="O204" s="31" t="s">
        <v>776</v>
      </c>
      <c r="P204" s="31"/>
      <c r="Q204" s="31" t="s">
        <v>762</v>
      </c>
      <c r="R204" s="31" t="s">
        <v>5</v>
      </c>
      <c r="S204" s="63">
        <v>44867</v>
      </c>
      <c r="T204" s="67">
        <v>553752</v>
      </c>
      <c r="U204" s="68"/>
      <c r="V204" s="69">
        <v>553752</v>
      </c>
      <c r="W204" s="28" t="s">
        <v>851</v>
      </c>
      <c r="X204" s="29"/>
      <c r="Y204" s="75" t="s">
        <v>1031</v>
      </c>
      <c r="Z204" s="75" t="s">
        <v>1050</v>
      </c>
      <c r="AA204">
        <v>4</v>
      </c>
      <c r="AB204">
        <v>1</v>
      </c>
      <c r="AC204">
        <v>4</v>
      </c>
    </row>
    <row r="205" spans="1:29" x14ac:dyDescent="0.2">
      <c r="A205" s="31" t="s">
        <v>852</v>
      </c>
      <c r="B205" s="31" t="s">
        <v>30</v>
      </c>
      <c r="C205" s="36" t="s">
        <v>1037</v>
      </c>
      <c r="D205" s="31" t="s">
        <v>762</v>
      </c>
      <c r="E205" s="31"/>
      <c r="F205" s="36" t="s">
        <v>31</v>
      </c>
      <c r="G205" s="29" t="s">
        <v>853</v>
      </c>
      <c r="H205" s="31" t="s">
        <v>674</v>
      </c>
      <c r="I205" s="31" t="s">
        <v>55</v>
      </c>
      <c r="J205" s="31" t="s">
        <v>56</v>
      </c>
      <c r="K205" s="31" t="s">
        <v>36</v>
      </c>
      <c r="L205" s="56" t="s">
        <v>101</v>
      </c>
      <c r="M205" s="31" t="s">
        <v>776</v>
      </c>
      <c r="N205" s="31" t="s">
        <v>1030</v>
      </c>
      <c r="O205" s="31" t="s">
        <v>776</v>
      </c>
      <c r="P205" s="31"/>
      <c r="Q205" s="31" t="s">
        <v>762</v>
      </c>
      <c r="R205" s="31" t="s">
        <v>5</v>
      </c>
      <c r="S205" s="63">
        <v>45108</v>
      </c>
      <c r="T205" s="67">
        <v>483759</v>
      </c>
      <c r="U205" s="68"/>
      <c r="V205" s="69">
        <v>483759</v>
      </c>
      <c r="W205" s="28" t="s">
        <v>854</v>
      </c>
      <c r="X205" s="29"/>
      <c r="Y205" s="75" t="s">
        <v>1031</v>
      </c>
      <c r="Z205" s="75" t="s">
        <v>1050</v>
      </c>
      <c r="AA205">
        <v>4</v>
      </c>
      <c r="AB205">
        <v>1</v>
      </c>
      <c r="AC205">
        <v>4</v>
      </c>
    </row>
    <row r="206" spans="1:29" x14ac:dyDescent="0.2">
      <c r="A206" s="31" t="s">
        <v>855</v>
      </c>
      <c r="B206" s="31" t="s">
        <v>30</v>
      </c>
      <c r="C206" s="36" t="s">
        <v>1037</v>
      </c>
      <c r="D206" s="31" t="s">
        <v>762</v>
      </c>
      <c r="E206" s="31"/>
      <c r="F206" s="36" t="s">
        <v>31</v>
      </c>
      <c r="G206" s="29" t="s">
        <v>856</v>
      </c>
      <c r="H206" s="31" t="s">
        <v>857</v>
      </c>
      <c r="I206" s="31" t="s">
        <v>159</v>
      </c>
      <c r="J206" s="31" t="s">
        <v>35</v>
      </c>
      <c r="K206" s="31" t="s">
        <v>36</v>
      </c>
      <c r="L206" s="56" t="s">
        <v>101</v>
      </c>
      <c r="M206" s="31" t="s">
        <v>776</v>
      </c>
      <c r="N206" s="31" t="s">
        <v>1030</v>
      </c>
      <c r="O206" s="31" t="s">
        <v>776</v>
      </c>
      <c r="P206" s="31"/>
      <c r="Q206" s="31" t="s">
        <v>762</v>
      </c>
      <c r="R206" s="31" t="s">
        <v>5</v>
      </c>
      <c r="S206" s="63">
        <v>45200</v>
      </c>
      <c r="T206" s="67">
        <v>271702</v>
      </c>
      <c r="U206" s="68"/>
      <c r="V206" s="69">
        <v>271702</v>
      </c>
      <c r="W206" s="28" t="s">
        <v>858</v>
      </c>
      <c r="X206" s="29"/>
      <c r="Y206" s="75" t="s">
        <v>1031</v>
      </c>
      <c r="Z206" s="75" t="s">
        <v>1050</v>
      </c>
      <c r="AA206">
        <v>4</v>
      </c>
      <c r="AB206">
        <v>1</v>
      </c>
      <c r="AC206">
        <v>4</v>
      </c>
    </row>
    <row r="207" spans="1:29" x14ac:dyDescent="0.2">
      <c r="A207" s="31" t="s">
        <v>859</v>
      </c>
      <c r="B207" s="31" t="s">
        <v>30</v>
      </c>
      <c r="C207" s="36" t="s">
        <v>1037</v>
      </c>
      <c r="D207" s="31" t="s">
        <v>762</v>
      </c>
      <c r="E207" s="31"/>
      <c r="F207" s="36" t="s">
        <v>31</v>
      </c>
      <c r="G207" s="31" t="s">
        <v>860</v>
      </c>
      <c r="H207" s="31" t="s">
        <v>591</v>
      </c>
      <c r="I207" s="31" t="s">
        <v>55</v>
      </c>
      <c r="J207" s="31" t="s">
        <v>56</v>
      </c>
      <c r="K207" s="31" t="s">
        <v>36</v>
      </c>
      <c r="L207" s="56" t="s">
        <v>582</v>
      </c>
      <c r="M207" s="31" t="s">
        <v>761</v>
      </c>
      <c r="N207" s="36" t="s">
        <v>1032</v>
      </c>
      <c r="O207" s="31"/>
      <c r="P207" s="31"/>
      <c r="Q207" s="31" t="s">
        <v>762</v>
      </c>
      <c r="R207" s="31" t="s">
        <v>5</v>
      </c>
      <c r="S207" s="29">
        <v>45113</v>
      </c>
      <c r="T207" s="67">
        <v>3497450</v>
      </c>
      <c r="U207" s="68"/>
      <c r="V207" s="69">
        <v>3497450</v>
      </c>
      <c r="W207" s="28" t="s">
        <v>861</v>
      </c>
      <c r="X207" s="29"/>
      <c r="AA207" s="78">
        <v>1</v>
      </c>
      <c r="AB207" s="78">
        <v>4</v>
      </c>
      <c r="AC207" s="78">
        <v>4</v>
      </c>
    </row>
    <row r="208" spans="1:29" x14ac:dyDescent="0.2">
      <c r="A208" s="31" t="s">
        <v>862</v>
      </c>
      <c r="B208" s="31" t="s">
        <v>30</v>
      </c>
      <c r="C208" s="36" t="s">
        <v>1037</v>
      </c>
      <c r="D208" s="31" t="s">
        <v>762</v>
      </c>
      <c r="E208" s="31"/>
      <c r="F208" s="36" t="s">
        <v>31</v>
      </c>
      <c r="G208" s="29" t="s">
        <v>863</v>
      </c>
      <c r="H208" s="31" t="s">
        <v>864</v>
      </c>
      <c r="I208" s="31" t="s">
        <v>46</v>
      </c>
      <c r="J208" s="31" t="s">
        <v>35</v>
      </c>
      <c r="K208" s="31" t="s">
        <v>36</v>
      </c>
      <c r="L208" s="56" t="s">
        <v>101</v>
      </c>
      <c r="M208" s="31" t="s">
        <v>761</v>
      </c>
      <c r="N208" s="36" t="s">
        <v>1032</v>
      </c>
      <c r="O208" s="31"/>
      <c r="P208" s="31"/>
      <c r="Q208" s="31" t="s">
        <v>762</v>
      </c>
      <c r="R208" s="31" t="s">
        <v>5</v>
      </c>
      <c r="S208" s="63">
        <v>44946</v>
      </c>
      <c r="T208" s="67">
        <v>562988</v>
      </c>
      <c r="U208" s="68"/>
      <c r="V208" s="69">
        <v>562988</v>
      </c>
      <c r="W208" s="28" t="s">
        <v>865</v>
      </c>
      <c r="X208" s="29"/>
      <c r="AA208" s="78">
        <v>4</v>
      </c>
      <c r="AB208" s="78">
        <v>1</v>
      </c>
      <c r="AC208" s="78">
        <v>4</v>
      </c>
    </row>
    <row r="209" spans="1:29" x14ac:dyDescent="0.2">
      <c r="A209" s="31" t="s">
        <v>866</v>
      </c>
      <c r="B209" s="31" t="s">
        <v>30</v>
      </c>
      <c r="C209" s="36" t="s">
        <v>1037</v>
      </c>
      <c r="D209" s="31" t="s">
        <v>762</v>
      </c>
      <c r="E209" s="31"/>
      <c r="F209" s="36" t="s">
        <v>31</v>
      </c>
      <c r="G209" s="43" t="s">
        <v>867</v>
      </c>
      <c r="H209" s="31" t="s">
        <v>868</v>
      </c>
      <c r="I209" s="31" t="s">
        <v>869</v>
      </c>
      <c r="J209" s="31" t="s">
        <v>35</v>
      </c>
      <c r="K209" s="31" t="s">
        <v>36</v>
      </c>
      <c r="L209" s="56" t="s">
        <v>101</v>
      </c>
      <c r="M209" s="31" t="s">
        <v>761</v>
      </c>
      <c r="N209" s="36" t="s">
        <v>1032</v>
      </c>
      <c r="O209" s="31"/>
      <c r="P209" s="31"/>
      <c r="Q209" s="31" t="s">
        <v>762</v>
      </c>
      <c r="R209" s="31" t="s">
        <v>5</v>
      </c>
      <c r="S209" s="63">
        <v>45030</v>
      </c>
      <c r="T209" s="67">
        <v>506607</v>
      </c>
      <c r="U209" s="68"/>
      <c r="V209" s="69">
        <v>506607</v>
      </c>
      <c r="W209" s="28" t="s">
        <v>870</v>
      </c>
      <c r="X209" s="29"/>
      <c r="AA209" s="78">
        <v>4</v>
      </c>
      <c r="AB209" s="78">
        <v>1</v>
      </c>
      <c r="AC209" s="78">
        <v>4</v>
      </c>
    </row>
    <row r="210" spans="1:29" x14ac:dyDescent="0.2">
      <c r="A210" s="31" t="s">
        <v>871</v>
      </c>
      <c r="B210" s="31" t="s">
        <v>30</v>
      </c>
      <c r="C210" s="36" t="s">
        <v>1037</v>
      </c>
      <c r="D210" s="31" t="s">
        <v>762</v>
      </c>
      <c r="E210" s="31"/>
      <c r="F210" s="36" t="s">
        <v>31</v>
      </c>
      <c r="G210" s="31" t="s">
        <v>872</v>
      </c>
      <c r="H210" s="31" t="s">
        <v>873</v>
      </c>
      <c r="I210" s="31" t="s">
        <v>68</v>
      </c>
      <c r="J210" s="31" t="s">
        <v>35</v>
      </c>
      <c r="K210" s="31" t="s">
        <v>36</v>
      </c>
      <c r="L210" s="56" t="s">
        <v>101</v>
      </c>
      <c r="M210" s="31" t="s">
        <v>761</v>
      </c>
      <c r="N210" s="36" t="s">
        <v>1032</v>
      </c>
      <c r="O210" s="31"/>
      <c r="P210" s="31"/>
      <c r="Q210" s="31" t="s">
        <v>762</v>
      </c>
      <c r="R210" s="31" t="s">
        <v>5</v>
      </c>
      <c r="S210" s="29">
        <v>45184</v>
      </c>
      <c r="T210" s="67">
        <v>4842967</v>
      </c>
      <c r="U210" s="68"/>
      <c r="V210" s="69">
        <v>4842967</v>
      </c>
      <c r="W210" s="28" t="s">
        <v>874</v>
      </c>
      <c r="X210" s="29"/>
      <c r="AA210" s="78">
        <v>4</v>
      </c>
      <c r="AB210" s="78">
        <v>1</v>
      </c>
      <c r="AC210" s="78">
        <v>4</v>
      </c>
    </row>
    <row r="211" spans="1:29" x14ac:dyDescent="0.2">
      <c r="A211" s="31" t="s">
        <v>875</v>
      </c>
      <c r="B211" s="31" t="s">
        <v>30</v>
      </c>
      <c r="C211" s="31" t="s">
        <v>1037</v>
      </c>
      <c r="D211" s="31" t="s">
        <v>878</v>
      </c>
      <c r="E211" s="31"/>
      <c r="F211" s="36" t="s">
        <v>31</v>
      </c>
      <c r="G211" s="29" t="s">
        <v>876</v>
      </c>
      <c r="H211" s="31" t="s">
        <v>877</v>
      </c>
      <c r="I211" s="31" t="s">
        <v>307</v>
      </c>
      <c r="J211" s="31" t="s">
        <v>133</v>
      </c>
      <c r="K211" s="31" t="s">
        <v>36</v>
      </c>
      <c r="L211" s="56" t="s">
        <v>101</v>
      </c>
      <c r="M211" s="31" t="s">
        <v>262</v>
      </c>
      <c r="N211" s="36" t="s">
        <v>1032</v>
      </c>
      <c r="O211" s="31"/>
      <c r="P211" s="31"/>
      <c r="Q211" s="31" t="s">
        <v>878</v>
      </c>
      <c r="R211" s="31" t="s">
        <v>5</v>
      </c>
      <c r="S211" s="63">
        <v>45152</v>
      </c>
      <c r="T211" s="67">
        <v>378071</v>
      </c>
      <c r="U211" s="68"/>
      <c r="V211" s="69">
        <v>378071</v>
      </c>
      <c r="W211" s="28" t="s">
        <v>879</v>
      </c>
      <c r="X211" s="29"/>
      <c r="AA211" s="78">
        <v>4</v>
      </c>
      <c r="AB211" s="78">
        <v>4</v>
      </c>
      <c r="AC211" s="78">
        <v>1</v>
      </c>
    </row>
    <row r="212" spans="1:29" x14ac:dyDescent="0.2">
      <c r="A212" s="31" t="s">
        <v>880</v>
      </c>
      <c r="B212" s="31" t="s">
        <v>30</v>
      </c>
      <c r="C212" s="31" t="s">
        <v>1037</v>
      </c>
      <c r="D212" s="31" t="s">
        <v>878</v>
      </c>
      <c r="E212" s="31"/>
      <c r="F212" s="36" t="s">
        <v>31</v>
      </c>
      <c r="G212" s="29" t="s">
        <v>881</v>
      </c>
      <c r="H212" s="31" t="s">
        <v>882</v>
      </c>
      <c r="I212" s="31" t="s">
        <v>46</v>
      </c>
      <c r="J212" s="31" t="s">
        <v>35</v>
      </c>
      <c r="K212" s="31" t="s">
        <v>36</v>
      </c>
      <c r="L212" s="56" t="s">
        <v>101</v>
      </c>
      <c r="M212" s="31" t="s">
        <v>262</v>
      </c>
      <c r="N212" s="36" t="s">
        <v>1032</v>
      </c>
      <c r="O212" s="31"/>
      <c r="P212" s="31"/>
      <c r="Q212" s="31" t="s">
        <v>878</v>
      </c>
      <c r="R212" s="31" t="s">
        <v>5</v>
      </c>
      <c r="S212" s="63">
        <v>45170</v>
      </c>
      <c r="T212" s="67">
        <v>97991</v>
      </c>
      <c r="U212" s="68"/>
      <c r="V212" s="69">
        <v>97991</v>
      </c>
      <c r="W212" s="28" t="s">
        <v>883</v>
      </c>
      <c r="X212" s="29"/>
      <c r="AA212" s="78">
        <v>1</v>
      </c>
      <c r="AB212" s="78">
        <v>4</v>
      </c>
      <c r="AC212" s="78">
        <v>4</v>
      </c>
    </row>
    <row r="213" spans="1:29" x14ac:dyDescent="0.2">
      <c r="A213" s="31" t="s">
        <v>884</v>
      </c>
      <c r="B213" s="31" t="s">
        <v>30</v>
      </c>
      <c r="C213" s="31" t="s">
        <v>1037</v>
      </c>
      <c r="D213" s="31" t="s">
        <v>1039</v>
      </c>
      <c r="E213" s="31"/>
      <c r="F213" s="36" t="s">
        <v>31</v>
      </c>
      <c r="G213" s="29" t="s">
        <v>885</v>
      </c>
      <c r="H213" s="31" t="s">
        <v>886</v>
      </c>
      <c r="I213" s="31" t="s">
        <v>46</v>
      </c>
      <c r="J213" s="31" t="s">
        <v>35</v>
      </c>
      <c r="K213" s="31" t="s">
        <v>36</v>
      </c>
      <c r="L213" s="56" t="s">
        <v>101</v>
      </c>
      <c r="M213" s="31" t="s">
        <v>262</v>
      </c>
      <c r="N213" s="36" t="s">
        <v>1032</v>
      </c>
      <c r="O213" s="31"/>
      <c r="P213" s="31"/>
      <c r="Q213" s="31" t="s">
        <v>887</v>
      </c>
      <c r="R213" s="31" t="s">
        <v>5</v>
      </c>
      <c r="S213" s="63">
        <v>45184</v>
      </c>
      <c r="T213" s="67">
        <v>830537</v>
      </c>
      <c r="U213" s="68"/>
      <c r="V213" s="69">
        <v>830537</v>
      </c>
      <c r="W213" s="28" t="s">
        <v>888</v>
      </c>
      <c r="X213" s="29"/>
      <c r="AA213" s="78">
        <v>1</v>
      </c>
      <c r="AB213" s="78">
        <v>4</v>
      </c>
      <c r="AC213" s="78">
        <v>3</v>
      </c>
    </row>
    <row r="214" spans="1:29" x14ac:dyDescent="0.2">
      <c r="A214" s="31" t="s">
        <v>889</v>
      </c>
      <c r="B214" s="31" t="s">
        <v>30</v>
      </c>
      <c r="C214" s="31" t="s">
        <v>1037</v>
      </c>
      <c r="D214" s="31" t="s">
        <v>762</v>
      </c>
      <c r="E214" s="31"/>
      <c r="F214" s="36" t="s">
        <v>31</v>
      </c>
      <c r="G214" s="29" t="s">
        <v>890</v>
      </c>
      <c r="H214" s="31" t="s">
        <v>891</v>
      </c>
      <c r="I214" s="31" t="s">
        <v>552</v>
      </c>
      <c r="J214" s="31" t="s">
        <v>35</v>
      </c>
      <c r="K214" s="31" t="s">
        <v>36</v>
      </c>
      <c r="L214" s="56" t="s">
        <v>101</v>
      </c>
      <c r="M214" s="31" t="s">
        <v>761</v>
      </c>
      <c r="N214" s="36" t="s">
        <v>1032</v>
      </c>
      <c r="O214" s="31"/>
      <c r="P214" s="31"/>
      <c r="Q214" s="31" t="s">
        <v>762</v>
      </c>
      <c r="R214" s="31" t="s">
        <v>5</v>
      </c>
      <c r="S214" s="63">
        <v>45275</v>
      </c>
      <c r="T214" s="67">
        <v>99749</v>
      </c>
      <c r="U214" s="68"/>
      <c r="V214" s="69">
        <v>99749</v>
      </c>
      <c r="W214" s="28" t="s">
        <v>892</v>
      </c>
      <c r="X214" s="29"/>
      <c r="AA214" s="78">
        <v>1</v>
      </c>
      <c r="AB214" s="78">
        <v>1</v>
      </c>
      <c r="AC214" s="78">
        <v>1</v>
      </c>
    </row>
    <row r="215" spans="1:29" x14ac:dyDescent="0.2">
      <c r="A215" s="31" t="s">
        <v>893</v>
      </c>
      <c r="B215" s="31" t="s">
        <v>30</v>
      </c>
      <c r="C215" s="31" t="s">
        <v>1037</v>
      </c>
      <c r="D215" s="31" t="s">
        <v>878</v>
      </c>
      <c r="E215" s="31"/>
      <c r="F215" s="36" t="s">
        <v>31</v>
      </c>
      <c r="G215" s="29" t="s">
        <v>894</v>
      </c>
      <c r="H215" s="31" t="s">
        <v>895</v>
      </c>
      <c r="I215" s="31" t="s">
        <v>55</v>
      </c>
      <c r="J215" s="31" t="s">
        <v>56</v>
      </c>
      <c r="K215" s="31" t="s">
        <v>36</v>
      </c>
      <c r="L215" s="56" t="s">
        <v>101</v>
      </c>
      <c r="M215" s="31" t="s">
        <v>262</v>
      </c>
      <c r="N215" s="36" t="s">
        <v>1032</v>
      </c>
      <c r="O215" s="31"/>
      <c r="P215" s="31"/>
      <c r="Q215" s="31" t="s">
        <v>878</v>
      </c>
      <c r="R215" s="31" t="s">
        <v>5</v>
      </c>
      <c r="S215" s="63">
        <v>45215</v>
      </c>
      <c r="T215" s="67">
        <v>99090</v>
      </c>
      <c r="U215" s="68"/>
      <c r="V215" s="69">
        <v>99090</v>
      </c>
      <c r="W215" s="28" t="s">
        <v>896</v>
      </c>
      <c r="X215" s="29"/>
      <c r="AA215" s="78">
        <v>1</v>
      </c>
      <c r="AB215" s="78">
        <v>4</v>
      </c>
      <c r="AC215" s="78">
        <v>4</v>
      </c>
    </row>
    <row r="216" spans="1:29" x14ac:dyDescent="0.2">
      <c r="A216" s="31" t="s">
        <v>897</v>
      </c>
      <c r="B216" s="31" t="s">
        <v>30</v>
      </c>
      <c r="C216" s="36" t="s">
        <v>1037</v>
      </c>
      <c r="D216" s="31" t="s">
        <v>762</v>
      </c>
      <c r="E216" s="31"/>
      <c r="F216" s="36" t="s">
        <v>31</v>
      </c>
      <c r="G216" s="29" t="s">
        <v>898</v>
      </c>
      <c r="H216" s="31" t="s">
        <v>316</v>
      </c>
      <c r="I216" s="31" t="s">
        <v>132</v>
      </c>
      <c r="J216" s="31" t="s">
        <v>133</v>
      </c>
      <c r="K216" s="31" t="s">
        <v>36</v>
      </c>
      <c r="L216" s="56" t="s">
        <v>101</v>
      </c>
      <c r="M216" s="31" t="s">
        <v>899</v>
      </c>
      <c r="N216" s="31" t="s">
        <v>1030</v>
      </c>
      <c r="O216" s="31" t="s">
        <v>899</v>
      </c>
      <c r="P216" s="31"/>
      <c r="Q216" s="31" t="s">
        <v>762</v>
      </c>
      <c r="R216" s="31" t="s">
        <v>5</v>
      </c>
      <c r="S216" s="29"/>
      <c r="T216" s="67">
        <v>2959071</v>
      </c>
      <c r="U216" s="68"/>
      <c r="V216" s="69">
        <v>2959071</v>
      </c>
      <c r="W216" s="28" t="s">
        <v>900</v>
      </c>
      <c r="X216" s="29"/>
      <c r="AA216" s="78">
        <v>3</v>
      </c>
      <c r="AB216" s="78">
        <v>1</v>
      </c>
      <c r="AC216" s="78">
        <v>4</v>
      </c>
    </row>
    <row r="217" spans="1:29" x14ac:dyDescent="0.2">
      <c r="A217" s="31" t="s">
        <v>901</v>
      </c>
      <c r="B217" s="31" t="s">
        <v>30</v>
      </c>
      <c r="C217" s="36" t="s">
        <v>1037</v>
      </c>
      <c r="D217" s="31" t="s">
        <v>762</v>
      </c>
      <c r="E217" s="31"/>
      <c r="F217" s="36" t="s">
        <v>31</v>
      </c>
      <c r="G217" s="29" t="s">
        <v>902</v>
      </c>
      <c r="H217" s="31" t="s">
        <v>903</v>
      </c>
      <c r="I217" s="31" t="s">
        <v>904</v>
      </c>
      <c r="J217" s="31" t="s">
        <v>133</v>
      </c>
      <c r="K217" s="31" t="s">
        <v>36</v>
      </c>
      <c r="L217" s="56" t="s">
        <v>101</v>
      </c>
      <c r="M217" s="31" t="s">
        <v>899</v>
      </c>
      <c r="N217" s="31" t="s">
        <v>1030</v>
      </c>
      <c r="O217" s="31" t="s">
        <v>899</v>
      </c>
      <c r="P217" s="31"/>
      <c r="Q217" s="31" t="s">
        <v>762</v>
      </c>
      <c r="R217" s="31" t="s">
        <v>5</v>
      </c>
      <c r="S217" s="29"/>
      <c r="T217" s="67">
        <v>2953025</v>
      </c>
      <c r="U217" s="68"/>
      <c r="V217" s="69">
        <v>2953025</v>
      </c>
      <c r="W217" s="28" t="s">
        <v>905</v>
      </c>
      <c r="X217" s="29"/>
      <c r="AA217" s="78">
        <v>3</v>
      </c>
      <c r="AB217" s="78">
        <v>1</v>
      </c>
      <c r="AC217" s="78">
        <v>4</v>
      </c>
    </row>
    <row r="218" spans="1:29" x14ac:dyDescent="0.2">
      <c r="A218" s="31" t="s">
        <v>906</v>
      </c>
      <c r="B218" s="31" t="s">
        <v>30</v>
      </c>
      <c r="C218" s="36" t="s">
        <v>1037</v>
      </c>
      <c r="D218" s="31" t="s">
        <v>762</v>
      </c>
      <c r="E218" s="31"/>
      <c r="F218" s="36" t="s">
        <v>31</v>
      </c>
      <c r="G218" s="29" t="s">
        <v>907</v>
      </c>
      <c r="H218" s="31" t="s">
        <v>91</v>
      </c>
      <c r="I218" s="31" t="s">
        <v>55</v>
      </c>
      <c r="J218" s="31" t="s">
        <v>56</v>
      </c>
      <c r="K218" s="31" t="s">
        <v>36</v>
      </c>
      <c r="L218" s="56" t="s">
        <v>95</v>
      </c>
      <c r="M218" s="31" t="s">
        <v>899</v>
      </c>
      <c r="N218" s="31" t="s">
        <v>1030</v>
      </c>
      <c r="O218" s="31" t="s">
        <v>899</v>
      </c>
      <c r="P218" s="31"/>
      <c r="Q218" s="31" t="s">
        <v>762</v>
      </c>
      <c r="R218" s="31" t="s">
        <v>5</v>
      </c>
      <c r="S218" s="29"/>
      <c r="T218" s="67">
        <v>2870758</v>
      </c>
      <c r="U218" s="68"/>
      <c r="V218" s="69">
        <v>2870758</v>
      </c>
      <c r="W218" s="28" t="s">
        <v>908</v>
      </c>
      <c r="X218" s="29"/>
      <c r="AA218" s="78">
        <v>3</v>
      </c>
      <c r="AB218" s="78">
        <v>1</v>
      </c>
      <c r="AC218" s="78">
        <v>4</v>
      </c>
    </row>
    <row r="219" spans="1:29" x14ac:dyDescent="0.2">
      <c r="A219" s="31" t="s">
        <v>909</v>
      </c>
      <c r="B219" s="31" t="s">
        <v>30</v>
      </c>
      <c r="C219" s="36" t="s">
        <v>1037</v>
      </c>
      <c r="D219" s="31" t="s">
        <v>762</v>
      </c>
      <c r="E219" s="31"/>
      <c r="F219" s="36" t="s">
        <v>31</v>
      </c>
      <c r="G219" s="29" t="s">
        <v>910</v>
      </c>
      <c r="H219" s="31" t="s">
        <v>564</v>
      </c>
      <c r="I219" s="31" t="s">
        <v>100</v>
      </c>
      <c r="J219" s="31" t="s">
        <v>35</v>
      </c>
      <c r="K219" s="31" t="s">
        <v>36</v>
      </c>
      <c r="L219" s="56" t="s">
        <v>101</v>
      </c>
      <c r="M219" s="31" t="s">
        <v>899</v>
      </c>
      <c r="N219" s="31" t="s">
        <v>1030</v>
      </c>
      <c r="O219" s="31" t="s">
        <v>899</v>
      </c>
      <c r="P219" s="31"/>
      <c r="Q219" s="31" t="s">
        <v>762</v>
      </c>
      <c r="R219" s="31" t="s">
        <v>5</v>
      </c>
      <c r="S219" s="29"/>
      <c r="T219" s="67">
        <v>2871124</v>
      </c>
      <c r="U219" s="68"/>
      <c r="V219" s="69">
        <v>2871124</v>
      </c>
      <c r="W219" s="28" t="s">
        <v>911</v>
      </c>
      <c r="X219" s="29"/>
      <c r="AA219" s="78">
        <v>3</v>
      </c>
      <c r="AB219" s="78">
        <v>1</v>
      </c>
      <c r="AC219" s="78">
        <v>4</v>
      </c>
    </row>
    <row r="220" spans="1:29" x14ac:dyDescent="0.2">
      <c r="A220" s="31" t="s">
        <v>912</v>
      </c>
      <c r="B220" s="31" t="s">
        <v>30</v>
      </c>
      <c r="C220" s="36" t="s">
        <v>1037</v>
      </c>
      <c r="D220" s="31" t="s">
        <v>762</v>
      </c>
      <c r="E220" s="31"/>
      <c r="F220" s="36" t="s">
        <v>31</v>
      </c>
      <c r="G220" s="29" t="s">
        <v>913</v>
      </c>
      <c r="H220" s="31" t="s">
        <v>316</v>
      </c>
      <c r="I220" s="31" t="s">
        <v>132</v>
      </c>
      <c r="J220" s="31" t="s">
        <v>133</v>
      </c>
      <c r="K220" s="31" t="s">
        <v>36</v>
      </c>
      <c r="L220" s="56" t="s">
        <v>101</v>
      </c>
      <c r="M220" s="31" t="s">
        <v>899</v>
      </c>
      <c r="N220" s="31" t="s">
        <v>1030</v>
      </c>
      <c r="O220" s="31" t="s">
        <v>899</v>
      </c>
      <c r="P220" s="31"/>
      <c r="Q220" s="31" t="s">
        <v>762</v>
      </c>
      <c r="R220" s="31" t="s">
        <v>5</v>
      </c>
      <c r="S220" s="29"/>
      <c r="T220" s="67">
        <v>2947618</v>
      </c>
      <c r="U220" s="68"/>
      <c r="V220" s="69">
        <v>2947618</v>
      </c>
      <c r="W220" s="28" t="s">
        <v>914</v>
      </c>
      <c r="X220" s="29"/>
      <c r="AA220" s="78">
        <v>3</v>
      </c>
      <c r="AB220" s="78">
        <v>1</v>
      </c>
      <c r="AC220" s="78">
        <v>4</v>
      </c>
    </row>
    <row r="221" spans="1:29" x14ac:dyDescent="0.2">
      <c r="A221" s="31" t="s">
        <v>915</v>
      </c>
      <c r="B221" s="31" t="s">
        <v>30</v>
      </c>
      <c r="C221" s="36" t="s">
        <v>1037</v>
      </c>
      <c r="D221" s="31" t="s">
        <v>762</v>
      </c>
      <c r="E221" s="31"/>
      <c r="F221" s="36" t="s">
        <v>31</v>
      </c>
      <c r="G221" s="31" t="s">
        <v>916</v>
      </c>
      <c r="H221" s="31" t="s">
        <v>917</v>
      </c>
      <c r="I221" s="31" t="s">
        <v>237</v>
      </c>
      <c r="J221" s="31" t="s">
        <v>35</v>
      </c>
      <c r="K221" s="31" t="s">
        <v>36</v>
      </c>
      <c r="L221" s="56" t="s">
        <v>95</v>
      </c>
      <c r="M221" s="31" t="s">
        <v>899</v>
      </c>
      <c r="N221" s="31" t="s">
        <v>1030</v>
      </c>
      <c r="O221" s="31" t="s">
        <v>899</v>
      </c>
      <c r="P221" s="31"/>
      <c r="Q221" s="31" t="s">
        <v>762</v>
      </c>
      <c r="R221" s="31" t="s">
        <v>5</v>
      </c>
      <c r="S221" s="29"/>
      <c r="T221" s="67">
        <v>3036502</v>
      </c>
      <c r="U221" s="68"/>
      <c r="V221" s="69">
        <v>3036502</v>
      </c>
      <c r="W221" s="28" t="s">
        <v>918</v>
      </c>
      <c r="X221" s="29"/>
      <c r="AA221" s="78">
        <v>3</v>
      </c>
      <c r="AB221" s="78">
        <v>1</v>
      </c>
      <c r="AC221" s="78">
        <v>4</v>
      </c>
    </row>
    <row r="222" spans="1:29" x14ac:dyDescent="0.2">
      <c r="A222" s="31" t="s">
        <v>919</v>
      </c>
      <c r="B222" s="31" t="s">
        <v>30</v>
      </c>
      <c r="C222" s="31" t="s">
        <v>1037</v>
      </c>
      <c r="D222" s="31" t="s">
        <v>1051</v>
      </c>
      <c r="E222" s="31"/>
      <c r="F222" s="36" t="s">
        <v>31</v>
      </c>
      <c r="G222" s="29" t="s">
        <v>920</v>
      </c>
      <c r="H222" s="31" t="s">
        <v>921</v>
      </c>
      <c r="I222" s="31" t="s">
        <v>55</v>
      </c>
      <c r="J222" s="31" t="s">
        <v>56</v>
      </c>
      <c r="K222" s="31" t="s">
        <v>36</v>
      </c>
      <c r="L222" s="56" t="s">
        <v>101</v>
      </c>
      <c r="M222" s="31" t="s">
        <v>262</v>
      </c>
      <c r="N222" s="36" t="s">
        <v>1032</v>
      </c>
      <c r="O222" s="31"/>
      <c r="P222" s="31"/>
      <c r="Q222" s="31" t="s">
        <v>39</v>
      </c>
      <c r="R222" s="31" t="s">
        <v>5</v>
      </c>
      <c r="S222" s="29"/>
      <c r="T222" s="67">
        <v>404971</v>
      </c>
      <c r="U222" s="68"/>
      <c r="V222" s="69">
        <v>404971</v>
      </c>
      <c r="W222" s="28" t="s">
        <v>922</v>
      </c>
      <c r="X222" s="29"/>
      <c r="AA222" s="78">
        <v>1</v>
      </c>
      <c r="AB222" s="78">
        <v>4</v>
      </c>
      <c r="AC222" s="78">
        <v>1</v>
      </c>
    </row>
    <row r="223" spans="1:29" ht="16" hidden="1" x14ac:dyDescent="0.2">
      <c r="A223" s="60" t="s">
        <v>923</v>
      </c>
      <c r="B223" s="31" t="s">
        <v>30</v>
      </c>
      <c r="C223" s="31"/>
      <c r="D223" s="31"/>
      <c r="E223" s="31"/>
      <c r="F223" s="31" t="s">
        <v>924</v>
      </c>
      <c r="G223" s="60" t="s">
        <v>925</v>
      </c>
      <c r="H223" s="60" t="s">
        <v>582</v>
      </c>
      <c r="K223" s="60" t="s">
        <v>36</v>
      </c>
      <c r="L223" s="62" t="s">
        <v>582</v>
      </c>
      <c r="T223" s="64">
        <v>59550</v>
      </c>
      <c r="U223" s="64">
        <v>59550</v>
      </c>
      <c r="V223" s="64">
        <v>59550</v>
      </c>
    </row>
    <row r="224" spans="1:29" ht="16" hidden="1" x14ac:dyDescent="0.2">
      <c r="A224" s="60" t="s">
        <v>926</v>
      </c>
      <c r="B224" s="31" t="s">
        <v>30</v>
      </c>
      <c r="C224" s="31"/>
      <c r="D224" s="31"/>
      <c r="E224" s="31"/>
      <c r="F224" s="31" t="s">
        <v>924</v>
      </c>
      <c r="G224" s="60" t="s">
        <v>927</v>
      </c>
      <c r="H224" s="60" t="s">
        <v>928</v>
      </c>
      <c r="K224" s="60" t="s">
        <v>36</v>
      </c>
      <c r="L224" s="62" t="s">
        <v>582</v>
      </c>
      <c r="T224" s="64">
        <v>121340</v>
      </c>
      <c r="U224" s="64">
        <v>121340</v>
      </c>
      <c r="V224" s="64">
        <v>121340</v>
      </c>
    </row>
    <row r="225" spans="1:22" ht="16" hidden="1" x14ac:dyDescent="0.2">
      <c r="A225" s="60" t="s">
        <v>929</v>
      </c>
      <c r="B225" s="31" t="s">
        <v>30</v>
      </c>
      <c r="C225" s="31"/>
      <c r="D225" s="31"/>
      <c r="E225" s="31"/>
      <c r="F225" s="31" t="s">
        <v>924</v>
      </c>
      <c r="G225" s="60" t="s">
        <v>930</v>
      </c>
      <c r="H225" s="60" t="s">
        <v>931</v>
      </c>
      <c r="K225" s="60" t="s">
        <v>36</v>
      </c>
      <c r="L225" s="62" t="s">
        <v>582</v>
      </c>
      <c r="T225" s="64">
        <v>11050</v>
      </c>
      <c r="U225" s="64">
        <v>11050</v>
      </c>
      <c r="V225" s="64">
        <v>11050</v>
      </c>
    </row>
    <row r="226" spans="1:22" ht="16" hidden="1" x14ac:dyDescent="0.2">
      <c r="A226" s="60" t="s">
        <v>932</v>
      </c>
      <c r="B226" s="31" t="s">
        <v>30</v>
      </c>
      <c r="C226" s="31"/>
      <c r="D226" s="31"/>
      <c r="E226" s="31"/>
      <c r="F226" s="31" t="s">
        <v>924</v>
      </c>
      <c r="G226" s="60" t="s">
        <v>933</v>
      </c>
      <c r="H226" s="60" t="s">
        <v>934</v>
      </c>
      <c r="K226" s="60" t="s">
        <v>36</v>
      </c>
      <c r="L226" s="62" t="s">
        <v>582</v>
      </c>
      <c r="T226" s="64">
        <v>1000000</v>
      </c>
      <c r="U226" s="64">
        <v>1000000</v>
      </c>
      <c r="V226" s="64">
        <v>1000000</v>
      </c>
    </row>
    <row r="227" spans="1:22" ht="16" hidden="1" x14ac:dyDescent="0.2">
      <c r="A227" s="60" t="s">
        <v>935</v>
      </c>
      <c r="B227" s="31" t="s">
        <v>30</v>
      </c>
      <c r="C227" s="31"/>
      <c r="D227" s="31"/>
      <c r="E227" s="31"/>
      <c r="F227" s="31" t="s">
        <v>924</v>
      </c>
      <c r="G227" s="60" t="s">
        <v>936</v>
      </c>
      <c r="H227" s="60" t="s">
        <v>937</v>
      </c>
      <c r="K227" s="60" t="s">
        <v>36</v>
      </c>
      <c r="L227" s="62" t="s">
        <v>582</v>
      </c>
      <c r="T227" s="65">
        <v>87452.12</v>
      </c>
      <c r="U227" s="65">
        <v>87452.12</v>
      </c>
      <c r="V227" s="65">
        <v>87452.12</v>
      </c>
    </row>
    <row r="228" spans="1:22" ht="16" hidden="1" x14ac:dyDescent="0.2">
      <c r="A228" s="60" t="s">
        <v>938</v>
      </c>
      <c r="B228" s="31" t="s">
        <v>30</v>
      </c>
      <c r="C228" s="31"/>
      <c r="D228" s="31"/>
      <c r="E228" s="31"/>
      <c r="F228" s="31" t="s">
        <v>924</v>
      </c>
      <c r="G228" s="60" t="s">
        <v>939</v>
      </c>
      <c r="H228" s="60" t="s">
        <v>940</v>
      </c>
      <c r="T228" s="65">
        <v>6310.56</v>
      </c>
      <c r="U228" s="65">
        <v>6310.56</v>
      </c>
      <c r="V228" s="65">
        <v>6310.56</v>
      </c>
    </row>
    <row r="229" spans="1:22" ht="16" hidden="1" x14ac:dyDescent="0.2">
      <c r="A229" s="61" t="s">
        <v>941</v>
      </c>
      <c r="B229" s="31" t="s">
        <v>30</v>
      </c>
      <c r="C229" s="31"/>
      <c r="D229" s="31"/>
      <c r="E229" s="31"/>
      <c r="F229" s="31" t="s">
        <v>924</v>
      </c>
      <c r="G229" s="61" t="s">
        <v>942</v>
      </c>
      <c r="H229" s="61" t="s">
        <v>548</v>
      </c>
      <c r="K229" s="60" t="s">
        <v>36</v>
      </c>
      <c r="L229" s="62" t="s">
        <v>582</v>
      </c>
      <c r="T229" s="66">
        <v>82960.61</v>
      </c>
      <c r="U229" s="66">
        <v>82960.61</v>
      </c>
      <c r="V229" s="66">
        <v>82960.61</v>
      </c>
    </row>
    <row r="230" spans="1:22" ht="16" hidden="1" x14ac:dyDescent="0.2">
      <c r="A230" s="60" t="s">
        <v>943</v>
      </c>
      <c r="B230" s="31" t="s">
        <v>30</v>
      </c>
      <c r="C230" s="31"/>
      <c r="D230" s="31"/>
      <c r="E230" s="31"/>
      <c r="F230" s="31" t="s">
        <v>924</v>
      </c>
      <c r="G230" s="60" t="s">
        <v>944</v>
      </c>
      <c r="H230" s="60" t="s">
        <v>945</v>
      </c>
      <c r="K230" s="60" t="s">
        <v>36</v>
      </c>
      <c r="L230" s="62" t="s">
        <v>582</v>
      </c>
      <c r="T230" s="64">
        <v>100000</v>
      </c>
      <c r="U230" s="64">
        <v>100000</v>
      </c>
      <c r="V230" s="64">
        <v>100000</v>
      </c>
    </row>
    <row r="231" spans="1:22" ht="16" hidden="1" x14ac:dyDescent="0.2">
      <c r="A231" s="60" t="s">
        <v>946</v>
      </c>
      <c r="B231" s="31" t="s">
        <v>30</v>
      </c>
      <c r="C231" s="31"/>
      <c r="D231" s="31"/>
      <c r="E231" s="31"/>
      <c r="F231" s="31" t="s">
        <v>924</v>
      </c>
      <c r="G231" s="60" t="s">
        <v>947</v>
      </c>
      <c r="H231" s="60" t="s">
        <v>948</v>
      </c>
      <c r="K231" s="60" t="s">
        <v>609</v>
      </c>
      <c r="L231" s="62" t="s">
        <v>582</v>
      </c>
      <c r="T231" s="65">
        <v>124804.41</v>
      </c>
      <c r="U231" s="65">
        <v>124804.41</v>
      </c>
      <c r="V231" s="65">
        <v>124804.41</v>
      </c>
    </row>
    <row r="232" spans="1:22" ht="16" hidden="1" x14ac:dyDescent="0.2">
      <c r="A232" s="60" t="s">
        <v>949</v>
      </c>
      <c r="B232" s="31" t="s">
        <v>30</v>
      </c>
      <c r="C232" s="31"/>
      <c r="D232" s="31"/>
      <c r="E232" s="31"/>
      <c r="F232" s="31" t="s">
        <v>924</v>
      </c>
      <c r="G232" s="60" t="s">
        <v>925</v>
      </c>
      <c r="H232" s="60" t="s">
        <v>582</v>
      </c>
      <c r="K232" s="60" t="s">
        <v>36</v>
      </c>
      <c r="L232" s="62" t="s">
        <v>582</v>
      </c>
      <c r="T232" s="64">
        <v>59550</v>
      </c>
      <c r="U232" s="64">
        <v>59550</v>
      </c>
      <c r="V232" s="64">
        <v>59550</v>
      </c>
    </row>
    <row r="233" spans="1:22" ht="16" hidden="1" x14ac:dyDescent="0.2">
      <c r="A233" s="60" t="s">
        <v>950</v>
      </c>
      <c r="B233" s="31" t="s">
        <v>30</v>
      </c>
      <c r="C233" s="31"/>
      <c r="D233" s="31"/>
      <c r="E233" s="31"/>
      <c r="F233" s="31" t="s">
        <v>924</v>
      </c>
      <c r="G233" s="60" t="s">
        <v>951</v>
      </c>
      <c r="H233" s="60" t="s">
        <v>940</v>
      </c>
      <c r="K233" s="60" t="s">
        <v>36</v>
      </c>
      <c r="L233" s="62" t="s">
        <v>582</v>
      </c>
      <c r="T233" s="65">
        <v>180969.27</v>
      </c>
      <c r="U233" s="65">
        <v>180969.27</v>
      </c>
      <c r="V233" s="65">
        <v>180969.27</v>
      </c>
    </row>
    <row r="234" spans="1:22" ht="16" hidden="1" x14ac:dyDescent="0.2">
      <c r="A234" s="60" t="s">
        <v>952</v>
      </c>
      <c r="B234" s="31" t="s">
        <v>30</v>
      </c>
      <c r="C234" s="31"/>
      <c r="D234" s="31"/>
      <c r="E234" s="31"/>
      <c r="F234" s="31" t="s">
        <v>924</v>
      </c>
      <c r="G234" s="60" t="s">
        <v>953</v>
      </c>
      <c r="H234" s="60" t="s">
        <v>582</v>
      </c>
      <c r="K234" s="60" t="s">
        <v>36</v>
      </c>
      <c r="L234" s="62" t="s">
        <v>582</v>
      </c>
      <c r="T234" s="64">
        <v>80000</v>
      </c>
      <c r="U234" s="64">
        <v>80000</v>
      </c>
      <c r="V234" s="64">
        <v>80000</v>
      </c>
    </row>
    <row r="235" spans="1:22" ht="16" hidden="1" x14ac:dyDescent="0.2">
      <c r="A235" s="60" t="s">
        <v>954</v>
      </c>
      <c r="B235" s="31" t="s">
        <v>30</v>
      </c>
      <c r="C235" s="31"/>
      <c r="D235" s="31"/>
      <c r="E235" s="31"/>
      <c r="F235" s="31" t="s">
        <v>924</v>
      </c>
      <c r="G235" s="60" t="s">
        <v>955</v>
      </c>
      <c r="H235" s="60" t="s">
        <v>956</v>
      </c>
      <c r="K235" s="60" t="s">
        <v>36</v>
      </c>
      <c r="L235" s="62" t="s">
        <v>582</v>
      </c>
      <c r="T235" s="65">
        <v>124907.5</v>
      </c>
      <c r="U235" s="65">
        <v>124907.5</v>
      </c>
      <c r="V235" s="65">
        <v>124907.5</v>
      </c>
    </row>
    <row r="236" spans="1:22" ht="15" hidden="1" customHeight="1" x14ac:dyDescent="0.2">
      <c r="A236" s="60" t="s">
        <v>957</v>
      </c>
      <c r="B236" s="31" t="s">
        <v>30</v>
      </c>
      <c r="C236" s="31"/>
      <c r="D236" s="31"/>
      <c r="E236" s="31"/>
      <c r="F236" s="31" t="s">
        <v>924</v>
      </c>
      <c r="G236" s="60" t="s">
        <v>958</v>
      </c>
      <c r="H236" s="60" t="s">
        <v>959</v>
      </c>
      <c r="K236" s="60" t="s">
        <v>36</v>
      </c>
      <c r="L236" s="62" t="s">
        <v>582</v>
      </c>
      <c r="T236" s="64">
        <v>859295</v>
      </c>
      <c r="U236" s="64">
        <v>859295</v>
      </c>
      <c r="V236" s="64">
        <v>859295</v>
      </c>
    </row>
    <row r="237" spans="1:22" ht="16" hidden="1" x14ac:dyDescent="0.2">
      <c r="A237" s="60" t="s">
        <v>960</v>
      </c>
      <c r="B237" s="31" t="s">
        <v>30</v>
      </c>
      <c r="C237" s="31"/>
      <c r="D237" s="31"/>
      <c r="E237" s="31"/>
      <c r="F237" s="31" t="s">
        <v>924</v>
      </c>
      <c r="G237" s="60" t="s">
        <v>961</v>
      </c>
      <c r="H237" s="60" t="s">
        <v>962</v>
      </c>
      <c r="K237" s="60" t="s">
        <v>36</v>
      </c>
      <c r="L237" s="62" t="s">
        <v>582</v>
      </c>
      <c r="T237" s="64">
        <v>1775990</v>
      </c>
      <c r="U237" s="64">
        <v>1775990</v>
      </c>
      <c r="V237" s="64">
        <v>1775990</v>
      </c>
    </row>
    <row r="238" spans="1:22" ht="16" hidden="1" x14ac:dyDescent="0.2">
      <c r="A238" s="60" t="s">
        <v>963</v>
      </c>
      <c r="B238" s="31" t="s">
        <v>30</v>
      </c>
      <c r="C238" s="31"/>
      <c r="D238" s="31"/>
      <c r="E238" s="31"/>
      <c r="F238" s="31" t="s">
        <v>924</v>
      </c>
      <c r="G238" s="60" t="s">
        <v>964</v>
      </c>
      <c r="H238" s="60" t="s">
        <v>965</v>
      </c>
      <c r="K238" s="60" t="s">
        <v>36</v>
      </c>
      <c r="L238" s="62" t="s">
        <v>582</v>
      </c>
      <c r="T238" s="64">
        <v>59910</v>
      </c>
      <c r="U238" s="64">
        <v>59910</v>
      </c>
      <c r="V238" s="64">
        <v>59910</v>
      </c>
    </row>
    <row r="239" spans="1:22" ht="16" hidden="1" x14ac:dyDescent="0.2">
      <c r="A239" s="60" t="s">
        <v>966</v>
      </c>
      <c r="B239" s="31" t="s">
        <v>30</v>
      </c>
      <c r="C239" s="31"/>
      <c r="D239" s="31"/>
      <c r="E239" s="31"/>
      <c r="F239" s="31" t="s">
        <v>924</v>
      </c>
      <c r="G239" s="60" t="s">
        <v>967</v>
      </c>
      <c r="H239" s="60" t="s">
        <v>934</v>
      </c>
      <c r="K239" s="60" t="s">
        <v>968</v>
      </c>
      <c r="L239" s="62" t="s">
        <v>582</v>
      </c>
      <c r="T239" s="64">
        <v>1661300</v>
      </c>
      <c r="U239" s="64">
        <v>1661300</v>
      </c>
      <c r="V239" s="64">
        <v>1661300</v>
      </c>
    </row>
    <row r="240" spans="1:22" ht="16" hidden="1" x14ac:dyDescent="0.2">
      <c r="A240" s="60" t="s">
        <v>969</v>
      </c>
      <c r="B240" s="31" t="s">
        <v>30</v>
      </c>
      <c r="C240" s="31"/>
      <c r="D240" s="31"/>
      <c r="E240" s="31"/>
      <c r="F240" s="31" t="s">
        <v>924</v>
      </c>
      <c r="G240" s="60" t="s">
        <v>970</v>
      </c>
      <c r="H240" s="60" t="s">
        <v>971</v>
      </c>
      <c r="K240" s="60" t="s">
        <v>36</v>
      </c>
      <c r="L240" s="62" t="s">
        <v>582</v>
      </c>
      <c r="T240" s="65">
        <v>52237.5</v>
      </c>
      <c r="U240" s="65">
        <v>52237.5</v>
      </c>
      <c r="V240" s="65">
        <v>52237.5</v>
      </c>
    </row>
    <row r="241" spans="1:29" ht="16" hidden="1" x14ac:dyDescent="0.2">
      <c r="A241" s="60" t="s">
        <v>972</v>
      </c>
      <c r="B241" s="31" t="s">
        <v>30</v>
      </c>
      <c r="C241" s="31"/>
      <c r="D241" s="31"/>
      <c r="E241" s="31"/>
      <c r="F241" s="31" t="s">
        <v>924</v>
      </c>
      <c r="G241" s="60" t="s">
        <v>973</v>
      </c>
      <c r="H241" s="60" t="s">
        <v>674</v>
      </c>
      <c r="K241" s="60" t="s">
        <v>36</v>
      </c>
      <c r="L241" s="62" t="s">
        <v>582</v>
      </c>
      <c r="T241" s="64">
        <v>21805</v>
      </c>
      <c r="U241" s="64">
        <v>21805</v>
      </c>
      <c r="V241" s="64">
        <v>21805</v>
      </c>
    </row>
    <row r="242" spans="1:29" ht="16" hidden="1" x14ac:dyDescent="0.2">
      <c r="A242" s="60" t="s">
        <v>974</v>
      </c>
      <c r="B242" s="31" t="s">
        <v>30</v>
      </c>
      <c r="C242" s="31"/>
      <c r="D242" s="31"/>
      <c r="E242" s="31"/>
      <c r="F242" s="31" t="s">
        <v>924</v>
      </c>
      <c r="G242" s="60" t="s">
        <v>975</v>
      </c>
      <c r="H242" s="60" t="s">
        <v>976</v>
      </c>
      <c r="K242" s="60" t="s">
        <v>36</v>
      </c>
      <c r="L242" s="62" t="s">
        <v>582</v>
      </c>
      <c r="T242" s="64">
        <v>661698</v>
      </c>
      <c r="U242" s="64">
        <v>661698</v>
      </c>
      <c r="V242" s="64">
        <v>661698</v>
      </c>
    </row>
    <row r="243" spans="1:29" ht="16" hidden="1" x14ac:dyDescent="0.2">
      <c r="A243" s="60" t="s">
        <v>977</v>
      </c>
      <c r="B243" s="31" t="s">
        <v>30</v>
      </c>
      <c r="C243" s="31"/>
      <c r="D243" s="31"/>
      <c r="E243" s="31"/>
      <c r="F243" s="31" t="s">
        <v>924</v>
      </c>
      <c r="G243" s="60" t="s">
        <v>978</v>
      </c>
      <c r="H243" s="60" t="s">
        <v>965</v>
      </c>
      <c r="K243" s="60" t="s">
        <v>36</v>
      </c>
      <c r="L243" s="62" t="s">
        <v>582</v>
      </c>
      <c r="T243" s="64">
        <v>20000</v>
      </c>
      <c r="U243" s="64">
        <v>20000</v>
      </c>
      <c r="V243" s="64">
        <v>20000</v>
      </c>
    </row>
    <row r="244" spans="1:29" ht="16" hidden="1" x14ac:dyDescent="0.2">
      <c r="A244" s="60" t="s">
        <v>979</v>
      </c>
      <c r="B244" s="31" t="s">
        <v>30</v>
      </c>
      <c r="C244" s="31"/>
      <c r="D244" s="31"/>
      <c r="E244" s="31"/>
      <c r="F244" s="31" t="s">
        <v>924</v>
      </c>
      <c r="G244" s="60" t="s">
        <v>980</v>
      </c>
      <c r="H244" s="60" t="s">
        <v>981</v>
      </c>
      <c r="K244" s="60" t="s">
        <v>36</v>
      </c>
      <c r="L244" s="62" t="s">
        <v>582</v>
      </c>
      <c r="T244" s="64">
        <v>350000</v>
      </c>
      <c r="U244" s="64">
        <v>350000</v>
      </c>
      <c r="V244" s="64">
        <v>350000</v>
      </c>
    </row>
    <row r="245" spans="1:29" ht="16" hidden="1" x14ac:dyDescent="0.2">
      <c r="A245" s="50" t="s">
        <v>982</v>
      </c>
      <c r="B245" s="31" t="s">
        <v>30</v>
      </c>
      <c r="C245" s="31"/>
      <c r="D245" s="31"/>
      <c r="E245" s="31"/>
      <c r="F245" s="31" t="s">
        <v>924</v>
      </c>
      <c r="G245" s="50" t="s">
        <v>983</v>
      </c>
      <c r="H245" s="50" t="s">
        <v>984</v>
      </c>
      <c r="K245" s="60" t="s">
        <v>36</v>
      </c>
      <c r="L245" s="62" t="s">
        <v>582</v>
      </c>
      <c r="T245" s="55">
        <v>7956.52</v>
      </c>
      <c r="U245" s="55">
        <v>7956.52</v>
      </c>
      <c r="V245" s="55">
        <v>7956.52</v>
      </c>
    </row>
    <row r="246" spans="1:29" ht="16" hidden="1" x14ac:dyDescent="0.2">
      <c r="A246" s="50" t="s">
        <v>985</v>
      </c>
      <c r="B246" s="31" t="s">
        <v>30</v>
      </c>
      <c r="C246" s="31"/>
      <c r="D246" s="31"/>
      <c r="E246" s="31"/>
      <c r="F246" s="31" t="s">
        <v>924</v>
      </c>
      <c r="G246" s="50" t="s">
        <v>986</v>
      </c>
      <c r="H246" s="50" t="s">
        <v>987</v>
      </c>
      <c r="K246" s="60" t="s">
        <v>36</v>
      </c>
      <c r="L246" s="62" t="s">
        <v>582</v>
      </c>
      <c r="T246" s="54">
        <v>70000</v>
      </c>
      <c r="U246" s="54">
        <v>70000</v>
      </c>
      <c r="V246" s="54">
        <v>70000</v>
      </c>
    </row>
    <row r="247" spans="1:29" ht="16" hidden="1" x14ac:dyDescent="0.2">
      <c r="A247" s="50" t="s">
        <v>988</v>
      </c>
      <c r="B247" s="31" t="s">
        <v>30</v>
      </c>
      <c r="C247" s="31"/>
      <c r="D247" s="31"/>
      <c r="E247" s="31"/>
      <c r="F247" s="31" t="s">
        <v>924</v>
      </c>
      <c r="G247" s="50" t="s">
        <v>989</v>
      </c>
      <c r="H247" s="50" t="s">
        <v>962</v>
      </c>
      <c r="K247" s="43" t="s">
        <v>36</v>
      </c>
      <c r="L247" s="62" t="s">
        <v>582</v>
      </c>
      <c r="T247" s="54">
        <v>1936640</v>
      </c>
      <c r="U247" s="54">
        <v>1936640</v>
      </c>
      <c r="V247" s="54">
        <v>1936640</v>
      </c>
    </row>
    <row r="248" spans="1:29" ht="16" hidden="1" x14ac:dyDescent="0.2">
      <c r="A248" s="50" t="s">
        <v>990</v>
      </c>
      <c r="B248" s="31" t="s">
        <v>30</v>
      </c>
      <c r="C248" s="31"/>
      <c r="D248" s="31"/>
      <c r="E248" s="31"/>
      <c r="F248" s="31" t="s">
        <v>924</v>
      </c>
      <c r="G248" s="50" t="s">
        <v>991</v>
      </c>
      <c r="H248" s="50" t="s">
        <v>962</v>
      </c>
      <c r="K248" s="43" t="s">
        <v>36</v>
      </c>
      <c r="L248" s="62" t="s">
        <v>582</v>
      </c>
      <c r="T248" s="54">
        <v>1936640</v>
      </c>
      <c r="U248" s="54">
        <v>1936640</v>
      </c>
      <c r="V248" s="54">
        <v>1936640</v>
      </c>
    </row>
    <row r="249" spans="1:29" ht="16" hidden="1" x14ac:dyDescent="0.2">
      <c r="A249" s="50" t="s">
        <v>992</v>
      </c>
      <c r="B249" s="31" t="s">
        <v>30</v>
      </c>
      <c r="C249" s="31"/>
      <c r="D249" s="31"/>
      <c r="E249" s="31"/>
      <c r="F249" s="31" t="s">
        <v>924</v>
      </c>
      <c r="G249" s="50" t="s">
        <v>993</v>
      </c>
      <c r="H249" s="50" t="s">
        <v>994</v>
      </c>
      <c r="K249" s="50" t="s">
        <v>36</v>
      </c>
      <c r="L249" s="62" t="s">
        <v>582</v>
      </c>
      <c r="T249" s="55">
        <v>328653.03999999998</v>
      </c>
      <c r="U249" s="55">
        <v>328653.03999999998</v>
      </c>
      <c r="V249" s="55">
        <v>328653.03999999998</v>
      </c>
    </row>
    <row r="250" spans="1:29" hidden="1" x14ac:dyDescent="0.2">
      <c r="A250" s="57"/>
      <c r="B250" s="31" t="s">
        <v>924</v>
      </c>
      <c r="C250" s="31"/>
      <c r="D250" s="31"/>
      <c r="E250" s="31"/>
      <c r="F250" s="31" t="s">
        <v>924</v>
      </c>
      <c r="G250" s="57" t="s">
        <v>995</v>
      </c>
      <c r="H250" s="57"/>
      <c r="K250" s="43" t="s">
        <v>36</v>
      </c>
      <c r="L250" s="62" t="s">
        <v>582</v>
      </c>
      <c r="T250" s="59">
        <v>980887</v>
      </c>
      <c r="U250" s="59">
        <v>980887</v>
      </c>
      <c r="V250" s="59">
        <v>980887</v>
      </c>
    </row>
    <row r="251" spans="1:29" hidden="1" x14ac:dyDescent="0.2">
      <c r="A251" s="57"/>
      <c r="B251" s="31" t="s">
        <v>924</v>
      </c>
      <c r="C251" s="31"/>
      <c r="D251" s="31"/>
      <c r="E251" s="31"/>
      <c r="F251" s="31" t="s">
        <v>924</v>
      </c>
      <c r="G251" s="57" t="s">
        <v>996</v>
      </c>
      <c r="H251" s="57"/>
      <c r="K251" s="43" t="s">
        <v>36</v>
      </c>
      <c r="L251" s="62" t="s">
        <v>582</v>
      </c>
      <c r="T251" s="59">
        <v>826999</v>
      </c>
      <c r="U251" s="59">
        <v>826999</v>
      </c>
      <c r="V251" s="59">
        <v>826999</v>
      </c>
    </row>
    <row r="252" spans="1:29" hidden="1" x14ac:dyDescent="0.2">
      <c r="A252" s="57"/>
      <c r="B252" s="31" t="s">
        <v>924</v>
      </c>
      <c r="C252" s="31"/>
      <c r="D252" s="31"/>
      <c r="E252" s="31"/>
      <c r="F252" s="31" t="s">
        <v>924</v>
      </c>
      <c r="G252" s="57" t="s">
        <v>997</v>
      </c>
      <c r="H252" s="57"/>
      <c r="K252" s="43" t="s">
        <v>36</v>
      </c>
      <c r="L252" s="62" t="s">
        <v>582</v>
      </c>
      <c r="T252" s="59">
        <v>722782</v>
      </c>
      <c r="U252" s="59">
        <v>722782</v>
      </c>
      <c r="V252" s="59">
        <v>722782</v>
      </c>
    </row>
    <row r="253" spans="1:29" hidden="1" x14ac:dyDescent="0.2">
      <c r="A253" s="57"/>
      <c r="B253" s="31" t="s">
        <v>924</v>
      </c>
      <c r="C253" s="31"/>
      <c r="D253" s="31"/>
      <c r="E253" s="31"/>
      <c r="F253" s="31" t="s">
        <v>924</v>
      </c>
      <c r="G253" s="57" t="s">
        <v>998</v>
      </c>
      <c r="H253" s="57"/>
      <c r="K253" s="43" t="s">
        <v>36</v>
      </c>
      <c r="L253" s="62" t="s">
        <v>582</v>
      </c>
      <c r="T253" s="59">
        <v>1188149</v>
      </c>
      <c r="U253" s="59">
        <v>1188149</v>
      </c>
      <c r="V253" s="59">
        <v>1188149</v>
      </c>
      <c r="AA253">
        <v>1</v>
      </c>
      <c r="AB253">
        <v>1</v>
      </c>
      <c r="AC253">
        <v>1</v>
      </c>
    </row>
    <row r="254" spans="1:29" hidden="1" x14ac:dyDescent="0.2">
      <c r="A254" s="57"/>
      <c r="B254" s="31" t="s">
        <v>924</v>
      </c>
      <c r="C254" s="31"/>
      <c r="D254" s="31"/>
      <c r="E254" s="31"/>
      <c r="F254" s="31" t="s">
        <v>924</v>
      </c>
      <c r="G254" s="57" t="s">
        <v>999</v>
      </c>
      <c r="H254" s="57"/>
      <c r="K254" s="43" t="s">
        <v>36</v>
      </c>
      <c r="L254" s="62" t="s">
        <v>582</v>
      </c>
      <c r="T254" s="59">
        <v>21850</v>
      </c>
      <c r="U254" s="59">
        <v>21850</v>
      </c>
      <c r="V254" s="59">
        <v>21850</v>
      </c>
    </row>
    <row r="255" spans="1:29" hidden="1" x14ac:dyDescent="0.2">
      <c r="A255" s="57"/>
      <c r="B255" s="31" t="s">
        <v>924</v>
      </c>
      <c r="C255" s="31"/>
      <c r="D255" s="31"/>
      <c r="E255" s="31"/>
      <c r="F255" s="31" t="s">
        <v>924</v>
      </c>
      <c r="G255" s="57" t="s">
        <v>1000</v>
      </c>
      <c r="H255" s="57"/>
      <c r="K255" s="43" t="s">
        <v>36</v>
      </c>
      <c r="L255" s="62" t="s">
        <v>582</v>
      </c>
      <c r="T255" s="59">
        <v>5000000</v>
      </c>
      <c r="U255" s="59">
        <v>5000000</v>
      </c>
      <c r="V255" s="59">
        <v>5000000</v>
      </c>
    </row>
    <row r="256" spans="1:29" hidden="1" x14ac:dyDescent="0.2">
      <c r="A256" s="57"/>
      <c r="B256" s="31" t="s">
        <v>924</v>
      </c>
      <c r="C256" s="31"/>
      <c r="D256" s="31"/>
      <c r="E256" s="31"/>
      <c r="F256" s="31" t="s">
        <v>924</v>
      </c>
      <c r="G256" s="57" t="s">
        <v>1001</v>
      </c>
      <c r="H256" s="57"/>
      <c r="K256" s="43" t="s">
        <v>36</v>
      </c>
      <c r="L256" s="62" t="s">
        <v>582</v>
      </c>
      <c r="T256" s="59">
        <v>1000000</v>
      </c>
      <c r="U256" s="59">
        <v>1000000</v>
      </c>
      <c r="V256" s="59">
        <v>1000000</v>
      </c>
    </row>
    <row r="257" spans="1:29" hidden="1" x14ac:dyDescent="0.2">
      <c r="A257" s="57"/>
      <c r="B257" s="31" t="s">
        <v>924</v>
      </c>
      <c r="C257" s="31"/>
      <c r="D257" s="31"/>
      <c r="E257" s="31"/>
      <c r="F257" s="31" t="s">
        <v>924</v>
      </c>
      <c r="G257" s="57" t="s">
        <v>1002</v>
      </c>
      <c r="H257" s="57"/>
      <c r="K257" s="43" t="s">
        <v>36</v>
      </c>
      <c r="L257" s="62" t="s">
        <v>582</v>
      </c>
      <c r="T257" s="59">
        <v>1200000</v>
      </c>
      <c r="U257" s="59">
        <v>1200000</v>
      </c>
      <c r="V257" s="59">
        <v>1200000</v>
      </c>
      <c r="Z257" s="75" t="s">
        <v>1052</v>
      </c>
    </row>
    <row r="258" spans="1:29" hidden="1" x14ac:dyDescent="0.2">
      <c r="A258" s="57"/>
      <c r="B258" s="31" t="s">
        <v>924</v>
      </c>
      <c r="C258" s="31"/>
      <c r="D258" s="31"/>
      <c r="E258" s="31"/>
      <c r="F258" s="31" t="s">
        <v>924</v>
      </c>
      <c r="G258" s="57" t="s">
        <v>1003</v>
      </c>
      <c r="H258" s="57"/>
      <c r="K258" s="43" t="s">
        <v>36</v>
      </c>
      <c r="L258" s="62" t="s">
        <v>582</v>
      </c>
      <c r="T258" s="59">
        <v>3000000</v>
      </c>
      <c r="U258" s="59">
        <v>3000000</v>
      </c>
      <c r="V258" s="59">
        <v>3000000</v>
      </c>
    </row>
    <row r="259" spans="1:29" hidden="1" x14ac:dyDescent="0.2">
      <c r="A259" s="57"/>
      <c r="B259" s="31" t="s">
        <v>924</v>
      </c>
      <c r="C259" s="31"/>
      <c r="D259" s="31"/>
      <c r="E259" s="31"/>
      <c r="F259" s="31" t="s">
        <v>924</v>
      </c>
      <c r="G259" s="57" t="s">
        <v>1004</v>
      </c>
      <c r="H259" s="57"/>
      <c r="K259" s="43" t="s">
        <v>36</v>
      </c>
      <c r="L259" s="62" t="s">
        <v>582</v>
      </c>
      <c r="T259" s="59">
        <v>5000000</v>
      </c>
      <c r="U259" s="59">
        <v>5000000</v>
      </c>
      <c r="V259" s="59">
        <v>5000000</v>
      </c>
    </row>
    <row r="260" spans="1:29" ht="15" hidden="1" customHeight="1" x14ac:dyDescent="0.2">
      <c r="A260" s="57"/>
      <c r="B260" s="31" t="s">
        <v>924</v>
      </c>
      <c r="C260" s="31"/>
      <c r="D260" s="31"/>
      <c r="E260" s="31"/>
      <c r="F260" s="31" t="s">
        <v>924</v>
      </c>
      <c r="G260" s="57" t="s">
        <v>1005</v>
      </c>
      <c r="H260" s="57"/>
      <c r="K260" s="43" t="s">
        <v>36</v>
      </c>
      <c r="L260" s="62" t="s">
        <v>582</v>
      </c>
      <c r="T260" s="59">
        <v>9300000</v>
      </c>
      <c r="U260" s="59">
        <v>9300000</v>
      </c>
      <c r="V260" s="59">
        <v>9300000</v>
      </c>
    </row>
    <row r="261" spans="1:29" ht="15" hidden="1" customHeight="1" x14ac:dyDescent="0.2">
      <c r="A261" s="57"/>
      <c r="B261" s="31" t="s">
        <v>924</v>
      </c>
      <c r="C261" s="31"/>
      <c r="D261" s="31"/>
      <c r="E261" s="31"/>
      <c r="F261" s="31" t="s">
        <v>924</v>
      </c>
      <c r="G261" s="57" t="s">
        <v>1006</v>
      </c>
      <c r="H261" s="57"/>
      <c r="K261" s="43" t="s">
        <v>36</v>
      </c>
      <c r="L261" s="62" t="s">
        <v>582</v>
      </c>
      <c r="T261" s="59">
        <v>450000</v>
      </c>
      <c r="U261" s="59">
        <v>450000</v>
      </c>
      <c r="V261" s="59">
        <v>450000</v>
      </c>
    </row>
    <row r="262" spans="1:29" ht="15" hidden="1" customHeight="1" x14ac:dyDescent="0.2">
      <c r="A262" s="57"/>
      <c r="B262" s="31" t="s">
        <v>924</v>
      </c>
      <c r="C262" s="31"/>
      <c r="D262" s="31"/>
      <c r="E262" s="31"/>
      <c r="F262" s="31" t="s">
        <v>924</v>
      </c>
      <c r="G262" s="57" t="s">
        <v>995</v>
      </c>
      <c r="H262" s="57"/>
      <c r="K262" s="43" t="s">
        <v>36</v>
      </c>
      <c r="L262" s="62" t="s">
        <v>582</v>
      </c>
      <c r="T262" s="59">
        <v>203785.2</v>
      </c>
      <c r="U262" s="59">
        <v>203785.2</v>
      </c>
      <c r="V262" s="59">
        <v>203785.2</v>
      </c>
    </row>
    <row r="263" spans="1:29" hidden="1" x14ac:dyDescent="0.2">
      <c r="A263" s="57"/>
      <c r="B263" s="31" t="s">
        <v>924</v>
      </c>
      <c r="C263" s="31"/>
      <c r="D263" s="31"/>
      <c r="E263" s="31"/>
      <c r="F263" s="31" t="s">
        <v>924</v>
      </c>
      <c r="G263" s="57" t="s">
        <v>1007</v>
      </c>
      <c r="H263" s="57"/>
      <c r="K263" s="43" t="s">
        <v>36</v>
      </c>
      <c r="L263" s="62" t="s">
        <v>582</v>
      </c>
      <c r="T263" s="59">
        <v>750000</v>
      </c>
      <c r="U263" s="59">
        <v>750000</v>
      </c>
      <c r="V263" s="59">
        <v>750000</v>
      </c>
    </row>
    <row r="264" spans="1:29" hidden="1" x14ac:dyDescent="0.2">
      <c r="A264" s="57"/>
      <c r="B264" s="31" t="s">
        <v>924</v>
      </c>
      <c r="C264" s="31"/>
      <c r="D264" s="31"/>
      <c r="E264" s="31"/>
      <c r="F264" s="31" t="s">
        <v>924</v>
      </c>
      <c r="G264" s="57" t="s">
        <v>1008</v>
      </c>
      <c r="H264" s="58"/>
      <c r="K264" s="43" t="s">
        <v>36</v>
      </c>
      <c r="L264" s="62" t="s">
        <v>582</v>
      </c>
      <c r="T264" s="59">
        <v>174060</v>
      </c>
      <c r="U264" s="59">
        <v>174060</v>
      </c>
      <c r="V264" s="59">
        <v>174060</v>
      </c>
    </row>
    <row r="265" spans="1:29" ht="15" hidden="1" customHeight="1" x14ac:dyDescent="0.2">
      <c r="A265" s="57"/>
      <c r="B265" s="31" t="s">
        <v>924</v>
      </c>
      <c r="C265" s="31"/>
      <c r="D265" s="31"/>
      <c r="E265" s="31"/>
      <c r="F265" s="31" t="s">
        <v>924</v>
      </c>
      <c r="G265" s="57" t="s">
        <v>1009</v>
      </c>
      <c r="H265" s="57"/>
      <c r="K265" s="43" t="s">
        <v>36</v>
      </c>
      <c r="L265" s="62" t="s">
        <v>582</v>
      </c>
      <c r="T265" s="59">
        <v>1000000</v>
      </c>
      <c r="U265" s="59">
        <v>1000000</v>
      </c>
      <c r="V265" s="59">
        <v>1000000</v>
      </c>
    </row>
    <row r="266" spans="1:29" ht="15" hidden="1" customHeight="1" x14ac:dyDescent="0.2">
      <c r="A266" s="57"/>
      <c r="B266" s="31" t="s">
        <v>924</v>
      </c>
      <c r="C266" s="31"/>
      <c r="D266" s="31"/>
      <c r="E266" s="31"/>
      <c r="F266" s="31" t="s">
        <v>924</v>
      </c>
      <c r="G266" s="57" t="s">
        <v>1010</v>
      </c>
      <c r="H266" s="57"/>
      <c r="K266" s="43" t="s">
        <v>36</v>
      </c>
      <c r="L266" s="62" t="s">
        <v>582</v>
      </c>
      <c r="T266" s="59">
        <v>500000</v>
      </c>
      <c r="U266" s="59">
        <v>500000</v>
      </c>
      <c r="V266" s="59">
        <v>500000</v>
      </c>
    </row>
    <row r="267" spans="1:29" ht="15" hidden="1" customHeight="1" x14ac:dyDescent="0.2">
      <c r="A267" s="57"/>
      <c r="B267" s="31" t="s">
        <v>924</v>
      </c>
      <c r="C267" s="31"/>
      <c r="D267" s="31"/>
      <c r="E267" s="31"/>
      <c r="F267" s="31" t="s">
        <v>924</v>
      </c>
      <c r="G267" s="57" t="s">
        <v>1011</v>
      </c>
      <c r="H267" s="57"/>
      <c r="K267" s="43" t="s">
        <v>36</v>
      </c>
      <c r="L267" s="62" t="s">
        <v>582</v>
      </c>
      <c r="T267" s="59">
        <v>340836</v>
      </c>
      <c r="U267" s="59">
        <v>340836</v>
      </c>
      <c r="V267" s="59">
        <v>340836</v>
      </c>
    </row>
    <row r="268" spans="1:29" ht="15" hidden="1" customHeight="1" x14ac:dyDescent="0.2">
      <c r="A268" s="57"/>
      <c r="B268" s="31" t="s">
        <v>924</v>
      </c>
      <c r="C268" s="31"/>
      <c r="D268" s="31"/>
      <c r="E268" s="31"/>
      <c r="F268" s="31" t="s">
        <v>924</v>
      </c>
      <c r="G268" s="57" t="s">
        <v>1012</v>
      </c>
      <c r="H268" s="57"/>
      <c r="K268" s="43" t="s">
        <v>36</v>
      </c>
      <c r="L268" s="62" t="s">
        <v>582</v>
      </c>
      <c r="T268" s="59">
        <v>4000000</v>
      </c>
      <c r="U268" s="59">
        <v>4000000</v>
      </c>
      <c r="V268" s="59">
        <v>4000000</v>
      </c>
      <c r="AA268">
        <v>1</v>
      </c>
      <c r="AB268">
        <v>1</v>
      </c>
      <c r="AC268">
        <v>1</v>
      </c>
    </row>
    <row r="269" spans="1:29" ht="15" hidden="1" customHeight="1" x14ac:dyDescent="0.2">
      <c r="A269" s="57"/>
      <c r="B269" s="31" t="s">
        <v>924</v>
      </c>
      <c r="C269" s="31"/>
      <c r="D269" s="31"/>
      <c r="E269" s="31"/>
      <c r="F269" s="31" t="s">
        <v>924</v>
      </c>
      <c r="G269" s="57" t="s">
        <v>1013</v>
      </c>
      <c r="H269" s="57"/>
      <c r="K269" s="43" t="s">
        <v>36</v>
      </c>
      <c r="L269" s="62" t="s">
        <v>582</v>
      </c>
      <c r="T269" s="59">
        <v>2500000</v>
      </c>
      <c r="U269" s="59">
        <v>2500000</v>
      </c>
      <c r="V269" s="59">
        <v>2500000</v>
      </c>
    </row>
    <row r="270" spans="1:29" ht="15" hidden="1" customHeight="1" x14ac:dyDescent="0.2">
      <c r="A270" s="57"/>
      <c r="B270" s="31" t="s">
        <v>924</v>
      </c>
      <c r="C270" s="31"/>
      <c r="D270" s="31"/>
      <c r="E270" s="31"/>
      <c r="F270" s="31" t="s">
        <v>924</v>
      </c>
      <c r="G270" s="57" t="s">
        <v>1014</v>
      </c>
      <c r="H270" s="57"/>
      <c r="K270" s="43" t="s">
        <v>36</v>
      </c>
      <c r="L270" s="62" t="s">
        <v>582</v>
      </c>
      <c r="T270" s="59">
        <v>92160</v>
      </c>
      <c r="U270" s="59">
        <v>92160</v>
      </c>
      <c r="V270" s="59">
        <v>92160</v>
      </c>
      <c r="AA270">
        <v>4</v>
      </c>
      <c r="AB270">
        <v>1</v>
      </c>
      <c r="AC270">
        <v>1</v>
      </c>
    </row>
    <row r="271" spans="1:29" ht="15" hidden="1" customHeight="1" x14ac:dyDescent="0.2">
      <c r="A271" s="57"/>
      <c r="B271" s="31" t="s">
        <v>924</v>
      </c>
      <c r="C271" s="31"/>
      <c r="D271" s="31"/>
      <c r="E271" s="31"/>
      <c r="F271" s="31" t="s">
        <v>924</v>
      </c>
      <c r="G271" s="57" t="s">
        <v>1015</v>
      </c>
      <c r="H271" s="57"/>
      <c r="K271" s="29" t="s">
        <v>36</v>
      </c>
      <c r="L271" s="62" t="s">
        <v>582</v>
      </c>
      <c r="T271" s="59">
        <v>1922038</v>
      </c>
      <c r="U271" s="59">
        <v>1922038</v>
      </c>
      <c r="V271" s="59">
        <v>1922038</v>
      </c>
    </row>
  </sheetData>
  <autoFilter ref="A1:AC271" xr:uid="{36EF26A8-1875-4E33-83E7-A16B20AF3198}">
    <filterColumn colId="2">
      <filters>
        <filter val="C&amp;H"/>
        <filter val="C&amp;H in partnership"/>
      </filters>
    </filterColumn>
  </autoFilter>
  <phoneticPr fontId="18" type="noConversion"/>
  <conditionalFormatting sqref="A2:A249">
    <cfRule type="duplicateValues" dxfId="0" priority="1"/>
  </conditionalFormatting>
  <hyperlinks>
    <hyperlink ref="G166" r:id="rId1" display="https://wellcome.dimensions.ai/details/grant/grant.4580178?search_mode=content&amp;search_text=Wellcome%20Trust%20200890%2FZ%2F16%2FZ&amp;search_type=kws&amp;search_field=full_search" xr:uid="{E7FAAAF8-53B3-4200-90C5-AD8B7A3FAEAE}"/>
    <hyperlink ref="G181" r:id="rId2" display="https://wellcome.dimensions.ai/details/grant/grant.10030322?search_mode=content&amp;search_text=Wellcome%20Trust%20222180%2FZ%2F20%2FZ&amp;search_type=kws&amp;search_field=full_search" xr:uid="{7DCFED59-A757-4DA4-B7D7-1FA7C47B53C9}"/>
    <hyperlink ref="G180" r:id="rId3" display="https://wellcome.dimensions.ai/details/grant/grant.10029576?search_mode=content&amp;search_text=Wellcome%20Trust%20219169%2FZ%2F19%2FZ&amp;search_type=kws&amp;search_field=full_search" xr:uid="{FE34F182-AAA7-4002-99BB-6783127A4089}"/>
    <hyperlink ref="G178" r:id="rId4" display="https://wellcome.dimensions.ai/details/grant/grant.10029513?search_mode=content&amp;search_text=Wellcome%20Trust%20218632%2FZ%2F19%2FZ&amp;search_type=kws&amp;search_field=full_search" xr:uid="{7122CCD9-C4DE-4BB7-A843-AE7CFD77B1A0}"/>
    <hyperlink ref="G171" r:id="rId5" display="https://wellcome.dimensions.ai/details/grant/grant.7159274?search_mode=content&amp;search_text=Wellcome%20Trust%20205222%2FZ%2F16%2FZ&amp;search_type=kws&amp;search_field=full_search" xr:uid="{EE4F5768-5B24-497F-9B22-8905358D07E5}"/>
    <hyperlink ref="G164" r:id="rId6" display="https://wellcome.dimensions.ai/details/grant/grant.6665177?search_mode=content&amp;search_text=Wellcome%20Trust%20107742%2FZ%2F15%2FZ&amp;search_type=kws&amp;search_field=full_search" xr:uid="{18015CDA-4ACF-4A70-98FE-E5465895FACF}"/>
    <hyperlink ref="G162" r:id="rId7" display="https://wellcome.dimensions.ai/details/grant/grant.4580792?search_mode=content&amp;search_text=Wellcome%20Trust%20106871%2FZ%2F15%2FZ&amp;search_type=kws&amp;search_field=full_search" xr:uid="{1BB7B3C6-F1A7-43C4-B1E4-28E00ACFDE7B}"/>
    <hyperlink ref="G159" r:id="rId8" display="https://wellcome.dimensions.ai/details/grant/grant.3637484?search_mode=content&amp;search_text=Wellcome%20Trust%20103932&amp;search_type=kws&amp;search_field=full_search" xr:uid="{293A3065-8098-4631-84B4-D64750D2E0A7}"/>
    <hyperlink ref="G156" r:id="rId9" display="https://wellcome.dimensions.ai/details/grant/grant.3637460?search_mode=content&amp;search_text=Wellcome%20Trust%20100891&amp;search_type=kws&amp;search_field=full_search" xr:uid="{0AD5629A-9E1D-4867-889C-6DA248B79CC5}"/>
    <hyperlink ref="G148" r:id="rId10" display="https://wellcome.dimensions.ai/details/grant/grant.3638667?search_mode=content&amp;search_text=Wellcome%20Trust%20087547%2FZ%2F08%2FZ&amp;search_type=kws&amp;search_field=full_search" xr:uid="{0C928C99-46B7-484C-A792-49378EE49001}"/>
    <hyperlink ref="G137" r:id="rId11" display="https://wellcome.dimensions.ai/details/grant/grant.3627306?search_mode=content&amp;search_text=Wellcome%20Trust%20072465%2FZ%2F03%2FZ&amp;search_type=kws&amp;search_field=full_search" xr:uid="{077D4A69-8B19-4A7E-AB51-D6CE72A83D78}"/>
    <hyperlink ref="G134" r:id="rId12" display="https://wellcome.dimensions.ai/details/grant/grant.3633056?search_mode=content&amp;search_text=Wellcome%20Trust%20033340&amp;search_type=kws&amp;search_field=full_search" xr:uid="{BF66F576-A086-455C-912A-EDB18DFF9D1D}"/>
    <hyperlink ref="G177" r:id="rId13" display="https://wellcome.dimensions.ai/details/grant/grant.10029249?search_mode=content&amp;search_text=Wellcome%20Trust%20216033-Z-19-Z&amp;search_type=kws&amp;search_field=full_search" xr:uid="{777BDD2E-F012-4769-8561-86770415DA4A}"/>
    <hyperlink ref="G176" r:id="rId14" display="https://wellcome.dimensions.ai/details/grant/grant.8558599?search_mode=content&amp;search_text=Wellcome%20Trust%20216014%2FZ%2F19%2FZ&amp;search_type=kws&amp;search_field=full_search" xr:uid="{E76FEF03-8D2F-43BA-92A9-9D8BC3C32FBE}"/>
    <hyperlink ref="G175" r:id="rId15" display="https://wellcome.dimensions.ai/details/grant/grant.10029131?search_mode=content&amp;search_text=Wellcome%20Trust%20215022%2FZ%2F18%2FZ&amp;search_type=kws&amp;search_field=full_search" xr:uid="{EA5346FA-E742-4F65-B0C6-DFB011D84A1D}"/>
    <hyperlink ref="G174" r:id="rId16" display="https://wellcome.dimensions.ai/details/grant/grant.8104022?search_mode=content&amp;search_text=Wellcome%20Trust%20213494%2FZ%2F18%2FZ&amp;search_type=kws&amp;search_field=full_search" xr:uid="{3669AF05-0F7F-458D-9E28-AEFA1A09CA8A}"/>
    <hyperlink ref="G168" r:id="rId17" display="https://wellcome.dimensions.ai/details/grant/grant.6666215?search_mode=content&amp;search_text=Wellcome%20Trust%20203077%2FZ%2F16%2FZ&amp;search_type=kws&amp;search_field=full_search" xr:uid="{94F07C17-5A8E-45CF-A51C-B32C4A091768}"/>
    <hyperlink ref="G163" r:id="rId18" display="https://wellcome.dimensions.ai/details/grant/grant.6665158?search_mode=content&amp;search_text=Wellcome%20Trust%20106924&amp;search_type=kws&amp;search_field=full_search" xr:uid="{D0A13464-3471-4008-84A0-D00959CA222D}"/>
    <hyperlink ref="G157" r:id="rId19" display="https://wellcome.dimensions.ai/details/grant/grant.3641420?search_mode=content&amp;search_text=Wellcome%20Trust%20101113&amp;search_type=kws&amp;search_field=full_search" xr:uid="{5BA82FE5-AB2A-4949-96AB-C8F81F71E1C2}"/>
    <hyperlink ref="G147" r:id="rId20" display="https://wellcome.dimensions.ai/details/grant/grant.3639009?search_mode=content&amp;search_text=Wellcome%20Trust%20087540&amp;search_type=kws&amp;search_field=full_search" xr:uid="{C8B5C452-ADBC-482C-9B77-7BA0EA01E598}"/>
    <hyperlink ref="G145" r:id="rId21" display="https://wellcome.dimensions.ai/details/grant/grant.3637732?search_mode=content&amp;search_text=Wellcome%20Trust%20084538&amp;search_type=kws&amp;search_field=full_search" xr:uid="{93C2FFB4-63EE-4A47-81D7-386194280396}"/>
    <hyperlink ref="G173" r:id="rId22" display="https://wellcome.dimensions.ai/details/grant/grant.8103170?search_mode=content&amp;search_text=Wellcome%20Trust%20210794%2FZ%2F18%2FZ&amp;search_type=kws&amp;search_field=full_search" xr:uid="{28371A1D-7F20-4778-B3BD-1D73474D04D3}"/>
    <hyperlink ref="G160" r:id="rId23" display="https://wellcome.dimensions.ai/details/grant/grant.4580498?search_mode=content&amp;search_text=Wellcome%20Trust%20106854%2FZ%2F15%2FZ&amp;search_type=kws&amp;search_field=full_search" xr:uid="{1E4897A3-3278-4EDA-A4DB-FB4726D2E09F}"/>
    <hyperlink ref="G141" r:id="rId24" display="https://wellcome.dimensions.ai/details/grant/grant.3632945?search_mode=content&amp;search_text=Wellcome%20Trust%20078925&amp;search_type=kws&amp;search_field=full_search" xr:uid="{3C75BC75-271E-4101-9C46-52C5690D2520}"/>
    <hyperlink ref="G169" r:id="rId25" display="https://wellcome.dimensions.ai/details/grant/grant.7159261?search_mode=content&amp;search_text=Wellcome%20Trust%20205177&amp;search_type=kws&amp;search_field=full_search" xr:uid="{38011CEE-68B6-477C-BAE5-E98C9D8E2715}"/>
    <hyperlink ref="G153" r:id="rId26" display="https://wellcome.dimensions.ai/details/grant/grant.3639894?search_mode=content&amp;search_text=Wellcome%20Trust%20098045&amp;search_type=kws&amp;search_field=full_search" xr:uid="{E1AC07A9-5CCA-481D-8D64-146AE24FD2F3}"/>
    <hyperlink ref="G179" r:id="rId27" display="https://wellcome.dimensions.ai/details/grant/grant.10029544?search_mode=content&amp;search_text=Wellcome%20Trust%20218743%2FZ%2F19%2FZ&amp;search_type=kws&amp;search_field=full_search" xr:uid="{22AE0C8D-E9DA-4317-BFA8-7AC2CF8A4293}"/>
    <hyperlink ref="G170" r:id="rId28" display="https://wellcome.dimensions.ai/details/grant/grant.7159267?search_mode=content&amp;search_text=Wellcome%20Trust%20205207%2FZ%2F16%2FZ&amp;search_type=kws&amp;search_field=full_search" xr:uid="{F7E7B6DD-19E5-413C-88B9-20073B4ECA62}"/>
    <hyperlink ref="G158" r:id="rId29" display="https://wellcome.dimensions.ai/details/grant/grant.4579409?search_mode=content&amp;search_text=Wellcome%20Trust%20103602&amp;search_type=kws&amp;search_field=full_search" xr:uid="{A16BBB49-6E02-47F1-B437-A487B30ABE1F}"/>
    <hyperlink ref="G154" r:id="rId30" display="https://wellcome.dimensions.ai/details/grant/grant.3637935?search_mode=content&amp;search_text=Wellcome%20Trust%20099876&amp;search_type=kws&amp;search_field=full_search" xr:uid="{DC60633B-8FE0-4059-9E24-339B6EB9BBBF}"/>
    <hyperlink ref="G151" r:id="rId31" display="https://wellcome.dimensions.ai/details/grant/grant.3639034?search_mode=content&amp;search_text=Wellcome%20Trust%20093724&amp;search_type=kws&amp;search_field=full_search" xr:uid="{21D69546-710E-41D6-96D9-9AC473632D72}"/>
    <hyperlink ref="G144" r:id="rId32" display="https://wellcome.dimensions.ai/details/grant/grant.3629072?search_mode=content&amp;search_text=Wellcome%20Trust%20081673&amp;search_type=kws&amp;search_field=full_search" xr:uid="{6BEB5984-B0A0-4B32-AFEF-ED891C2C8E8F}"/>
    <hyperlink ref="G140" r:id="rId33" display="https://wellcome.dimensions.ai/details/grant/grant.3632956?search_mode=content&amp;search_text=Wellcome%20Trust%20077092&amp;search_type=kws&amp;search_field=full_search" xr:uid="{CE01894B-9CD3-44AC-89D5-9B61E8075EBC}"/>
    <hyperlink ref="G136" r:id="rId34" display="https://wellcome.dimensions.ai/details/grant/grant.3627577?search_mode=content&amp;search_text=Wellcome%20Trust%20070696%2FZ%2F03%2FZ&amp;search_type=kws&amp;search_field=full_search" xr:uid="{BE903B3F-14FF-4414-B60A-542BC4A8C48D}"/>
    <hyperlink ref="G139" r:id="rId35" display="https://wellcome.dimensions.ai/details/grant/grant.3630122?search_mode=content&amp;search_text=Wellcome%20Trust%20076951&amp;search_type=kws&amp;search_field=full_search" xr:uid="{B3A4B0C2-E261-42C1-952B-C76BE40692D3}"/>
    <hyperlink ref="G138" r:id="rId36" display="https://wellcome.dimensions.ai/details/grant/grant.3626019?search_mode=content&amp;search_text=Wellcome%20Trust%20076583%2FZ%2F05%2FZ&amp;search_type=kws&amp;search_field=full_search" xr:uid="{49750B79-54F9-465C-986C-9077826D86BE}"/>
    <hyperlink ref="G149" r:id="rId37" display="https://wellcome.dimensions.ai/details/grant/grant.3642065?search_mode=content&amp;search_text=Wellcome%20Trust%20089276&amp;search_type=kws&amp;search_field=full_search" xr:uid="{618B66BB-7A39-42AF-ABC8-F7C8A096A30A}"/>
    <hyperlink ref="G146" r:id="rId38" display="https://wellcome.dimensions.ai/details/grant/grant.3640427?search_mode=content&amp;search_text=085308&amp;search_type=kws&amp;search_field=full_search" xr:uid="{6E6B7596-741E-4B49-A868-A93560DA67C2}"/>
    <hyperlink ref="G155" r:id="rId39" display="https://wellcome.dimensions.ai/details/grant/grant.3638641?search_mode=content&amp;search_text=Wellcome%20Trust%20100693&amp;search_type=kws&amp;search_field=full_search" xr:uid="{E7F9E1C0-3B4A-44C7-A50A-63F14F31BEEB}"/>
    <hyperlink ref="G135" r:id="rId40" display="https://wellcome.dimensions.ai/details/application/056642Z99Z?search_mode=content&amp;search_text=056642&amp;search_type=kws&amp;search_field=full_search" xr:uid="{9B955270-B248-4432-973A-0D49E45218F0}"/>
    <hyperlink ref="G167" r:id="rId41" display="https://wellcome.dimensions.ai/details/grant/grant.6665806?search_mode=content&amp;search_text=Wellcome%20Trust%20201900%2FZ%2F16%2FZ&amp;search_type=kws&amp;search_field=full_search" xr:uid="{ACE95111-1C3B-4D11-B1F3-9A9234E04B53}"/>
    <hyperlink ref="G161" r:id="rId42" display="https://wellcome.dimensions.ai/details/grant/grant.4580279?search_mode=content&amp;search_text=106866%2FZ%2F15%2FZ&amp;search_type=kws&amp;search_field=full_search" xr:uid="{8462BE39-D5AA-4052-95A7-2FF02E4FCC1B}"/>
    <hyperlink ref="G172" r:id="rId43" display="https://wellcome.dimensions.ai/details/grant/grant.8103168?search_mode=content&amp;search_text=210758%2FZ%2F18%2FZ&amp;search_type=kws&amp;search_field=full_search" xr:uid="{ECC7C59D-570F-4A49-987D-382BE1BC751B}"/>
    <hyperlink ref="G143" r:id="rId44" display="https://wellcome.dimensions.ai/details/grant/grant.3634146?search_mode=content&amp;search_text=079091&amp;search_type=kws&amp;search_field=full_search" xr:uid="{6AA492B5-D001-485F-93A3-D6E19426AF17}"/>
    <hyperlink ref="G150" r:id="rId45" display="https://wellcome.dimensions.ai/details/grant/grant.3635759?search_mode=content&amp;search_text=092654&amp;search_type=kws&amp;search_field=full_search" xr:uid="{8D4942E9-0550-4278-BE26-A9EB2A242F58}"/>
    <hyperlink ref="G152" r:id="rId46" display="https://wellcome.dimensions.ai/details/grant/grant.3639126?search_mode=content&amp;search_text=095066&amp;search_type=kws&amp;search_field=full_search" xr:uid="{78DA4112-3FCA-44E6-81C7-FD6B30866CF7}"/>
    <hyperlink ref="G142" r:id="rId47" display="https://wellcome.dimensions.ai/details/grant/grant.3634803?search_mode=content&amp;search_text=079080&amp;search_type=kws&amp;search_field=full_search" xr:uid="{3C964DB1-607E-4D72-908C-F1A4C2A5DF11}"/>
    <hyperlink ref="G165" r:id="rId48" xr:uid="{2F45CB30-BE59-45AC-881E-CBFE5E8229C8}"/>
    <hyperlink ref="W102" r:id="rId49" xr:uid="{E8FA48D2-FA49-4908-927E-77EE4EF3A188}"/>
    <hyperlink ref="W101" r:id="rId50" xr:uid="{F170EDD0-A119-4038-B14B-961569BE56DF}"/>
    <hyperlink ref="W100" r:id="rId51" xr:uid="{AE7848AD-4B62-4378-9A53-64B9433FF833}"/>
    <hyperlink ref="W97" r:id="rId52" xr:uid="{0CF5896E-91B9-4465-BAA0-0BDD7E74A9B7}"/>
    <hyperlink ref="W99" r:id="rId53" xr:uid="{7D55D18F-DDBA-41BA-8529-7141A44DDC86}"/>
    <hyperlink ref="W96" r:id="rId54" xr:uid="{8CAA090C-1C02-4906-8D25-B3FDA43AB4A2}"/>
    <hyperlink ref="W93" r:id="rId55" xr:uid="{D6AD7282-A9E3-4F55-AE6B-68A07E649EE1}"/>
    <hyperlink ref="W98" r:id="rId56" xr:uid="{8BA73111-A817-464D-8F6D-AC3877409928}"/>
    <hyperlink ref="W94" r:id="rId57" xr:uid="{3BC362EA-4ED6-46B2-ABEB-AEB665C793D9}"/>
    <hyperlink ref="W115" r:id="rId58" xr:uid="{B1E91407-059D-41EC-9EB3-CFB19D15FCFE}"/>
    <hyperlink ref="W95" r:id="rId59" xr:uid="{6134BC9D-A66E-42D5-913A-AD5BEBF4876C}"/>
    <hyperlink ref="W114" r:id="rId60" xr:uid="{8775B14E-B41A-41E1-82F8-37D39D47D074}"/>
    <hyperlink ref="W92" r:id="rId61" xr:uid="{0F8D8873-6BAD-4017-9D87-7CADB0EC3D13}"/>
    <hyperlink ref="W88" r:id="rId62" xr:uid="{C481E247-7E99-4786-9DB4-18A04B261370}"/>
    <hyperlink ref="W81" r:id="rId63" xr:uid="{24F5DFC1-6D3B-4B53-B439-DD06CA2DADCD}"/>
    <hyperlink ref="W83" r:id="rId64" xr:uid="{9AA6D6F8-620E-42E5-9A2F-5E282541547D}"/>
    <hyperlink ref="W80" r:id="rId65" xr:uid="{54E808B6-867F-428F-9695-41F5024BA0DC}"/>
    <hyperlink ref="W87" r:id="rId66" xr:uid="{DD8F3F0D-4EBD-4A39-9115-41BDB0043DEA}"/>
    <hyperlink ref="W84" r:id="rId67" xr:uid="{05DF9A5F-57B9-4B74-895F-97A54D68BE91}"/>
    <hyperlink ref="W79" r:id="rId68" xr:uid="{DB669AAA-CA2E-4A38-BC72-58FA94D046F9}"/>
    <hyperlink ref="W85" r:id="rId69" xr:uid="{C63B8DEA-4362-4E1B-AFD3-CB0C92973BCD}"/>
    <hyperlink ref="W82" r:id="rId70" xr:uid="{12A575C4-ED79-4EA7-8057-BC31F7C962B2}"/>
    <hyperlink ref="W86" r:id="rId71" xr:uid="{B08440C4-24D6-4E7E-BF4A-DC5A199A42F3}"/>
    <hyperlink ref="W112" r:id="rId72" xr:uid="{46679AAD-CE29-48DB-81CE-361B14195969}"/>
    <hyperlink ref="W63" r:id="rId73" xr:uid="{FB7C4B7A-335C-4E07-9861-D9912E32D890}"/>
    <hyperlink ref="W65" r:id="rId74" xr:uid="{868A03AC-B4FD-4789-A570-E97921C58ABE}"/>
    <hyperlink ref="W64" r:id="rId75" xr:uid="{E7654B20-63BB-4BAC-84FE-5B2DA28B3ED1}"/>
    <hyperlink ref="W58" r:id="rId76" xr:uid="{82CB0065-ECE1-4443-B63E-6945AF7D5DE4}"/>
    <hyperlink ref="W60" r:id="rId77" xr:uid="{F2CE2EBD-E29D-4133-89AC-A1FDDD302C4E}"/>
    <hyperlink ref="W66" r:id="rId78" xr:uid="{F27837DF-7474-4055-9242-D15F6CBD83E1}"/>
    <hyperlink ref="W61" r:id="rId79" xr:uid="{B849AA03-B33E-4AED-B6A3-D86286024C9B}"/>
    <hyperlink ref="W62" r:id="rId80" xr:uid="{EDCB04A3-948B-43E6-B5A3-0085FC3AE3A2}"/>
    <hyperlink ref="W67" r:id="rId81" xr:uid="{E3A5B196-E016-4084-B82F-3433F4A63087}"/>
    <hyperlink ref="W59" r:id="rId82" xr:uid="{066911DD-C03E-4739-9E69-8A96E6382E6F}"/>
    <hyperlink ref="W113" r:id="rId83" xr:uid="{007102F0-11EE-4573-85FA-49E1D7917031}"/>
    <hyperlink ref="W90" r:id="rId84" xr:uid="{85E63881-BA8D-4633-BB0E-E1144C0927A6}"/>
    <hyperlink ref="W89" r:id="rId85" xr:uid="{584125C8-30FB-4626-9EAA-73FA3AB1A3E0}"/>
    <hyperlink ref="W91" r:id="rId86" xr:uid="{3E927C03-CB77-4667-99F7-B991B6910A9B}"/>
    <hyperlink ref="W74" r:id="rId87" xr:uid="{F9CE5F48-F69E-4A89-BAF9-0A23856F6706}"/>
    <hyperlink ref="W75" r:id="rId88" xr:uid="{B80C3FCA-CEE6-487B-8BF5-8F09E568223D}"/>
    <hyperlink ref="W68" r:id="rId89" xr:uid="{479BE2AD-9A63-499A-BF34-169A9CB2D934}"/>
    <hyperlink ref="W73" r:id="rId90" xr:uid="{94EC97B4-1FA2-413A-AD0E-ACCD5B712F00}"/>
    <hyperlink ref="W72" r:id="rId91" xr:uid="{CC7683B9-009D-4C37-9D7A-C732F6EDE133}"/>
    <hyperlink ref="W77" r:id="rId92" xr:uid="{7AC6A46C-CD6C-4D72-853E-A45C4DD76A20}"/>
    <hyperlink ref="W69" r:id="rId93" xr:uid="{68BBD5E1-481B-49E0-9E28-484CA3E6912A}"/>
    <hyperlink ref="W70" r:id="rId94" xr:uid="{AB8B614F-6440-4803-BEBF-D0CAAC846FD2}"/>
    <hyperlink ref="W76" r:id="rId95" xr:uid="{CD25E0E1-BD8F-4E95-AA4D-9C8B309706EC}"/>
    <hyperlink ref="W71" r:id="rId96" xr:uid="{11F99AFA-2F13-41EB-AF4A-E07B722DFDE5}"/>
    <hyperlink ref="W57" r:id="rId97" xr:uid="{3A1CC76C-B998-4A88-B7C1-A944B985751D}"/>
    <hyperlink ref="W56" r:id="rId98" xr:uid="{746422D4-B727-411C-B758-303B94AD7882}"/>
    <hyperlink ref="W104" r:id="rId99" xr:uid="{F87CF08F-D242-443E-9902-B3B265334B08}"/>
    <hyperlink ref="W53" r:id="rId100" xr:uid="{8AD967E7-E6C2-47FA-B6A5-82118D2AEFD4}"/>
    <hyperlink ref="W116" r:id="rId101" xr:uid="{56B09858-6E29-4A83-B5EE-8BBC5A932047}"/>
    <hyperlink ref="W110" r:id="rId102" xr:uid="{DB0F33B5-F131-4991-AF74-618AE9F6CB9E}"/>
    <hyperlink ref="W54" r:id="rId103" xr:uid="{75EAC28D-F3B0-49D4-917D-F97EBDE67919}"/>
    <hyperlink ref="W78" r:id="rId104" xr:uid="{03C64A99-2D67-40DF-9046-94F058200235}"/>
    <hyperlink ref="W106" r:id="rId105" xr:uid="{E9870827-C0B5-4E4C-B992-788F6C0B2E4B}"/>
    <hyperlink ref="W55" r:id="rId106" xr:uid="{AE134D8E-09AE-4C7A-8156-D578F6583B3D}"/>
    <hyperlink ref="W107" r:id="rId107" xr:uid="{7E9BE96B-3DAD-4B95-8C1C-E01480398100}"/>
    <hyperlink ref="W111" r:id="rId108" xr:uid="{10F501DE-0E46-4C58-B6D2-9CF54019C00A}"/>
    <hyperlink ref="W103" r:id="rId109" xr:uid="{80BAF005-0C3B-4CF6-83B1-B349DB4AED46}"/>
    <hyperlink ref="W105" r:id="rId110" xr:uid="{D9A885E4-255F-4CE8-86C3-FF5935BB684B}"/>
    <hyperlink ref="W108" r:id="rId111" xr:uid="{C03A124C-1E66-4FAA-B80E-4FD7E0026A3F}"/>
    <hyperlink ref="W109" r:id="rId112" xr:uid="{E0677723-F8F7-4051-B0B2-6D2DC3F1E770}"/>
    <hyperlink ref="W42" r:id="rId113" xr:uid="{E1E0F5F9-AD9B-4A1E-AFD2-B1F40C048B07}"/>
    <hyperlink ref="W33" r:id="rId114" xr:uid="{57F3AADD-D4DA-4F1D-ACF2-42EB21834EFA}"/>
    <hyperlink ref="W36" r:id="rId115" xr:uid="{DF4D9B03-2739-4B99-8CF6-BE6AA2EFE64D}"/>
    <hyperlink ref="W14" r:id="rId116" xr:uid="{EF91035A-04A0-4F7C-8AD0-8A09D585F9D8}"/>
    <hyperlink ref="W34" r:id="rId117" xr:uid="{2D295074-30C6-4ED9-847C-F9DBAE451A75}"/>
    <hyperlink ref="W44" r:id="rId118" xr:uid="{70B68C22-8391-4E33-929F-1423E9E33513}"/>
    <hyperlink ref="W39" r:id="rId119" xr:uid="{4111CF1D-1050-4CF8-ACF1-78E3D61179EB}"/>
    <hyperlink ref="W45" r:id="rId120" xr:uid="{A360AC00-5250-4045-AA5C-D404BD7C69BF}"/>
    <hyperlink ref="W37" r:id="rId121" xr:uid="{134BAD19-2CCE-4FCE-A4DC-0793A272A654}"/>
    <hyperlink ref="W15" r:id="rId122" xr:uid="{52893962-3607-4E9C-817E-1D2ECA816251}"/>
    <hyperlink ref="W38" r:id="rId123" xr:uid="{9B03126E-0891-4A85-8908-97458F768BC3}"/>
    <hyperlink ref="W50" r:id="rId124" xr:uid="{67698705-58C3-47EF-83AC-2DFE57B0E6A7}"/>
    <hyperlink ref="W43" r:id="rId125" xr:uid="{70F70536-BB5F-45E0-8CB5-5CD130688071}"/>
    <hyperlink ref="W40" r:id="rId126" xr:uid="{609EDEBA-853C-4E4B-ACA1-540D1E7CFBC5}"/>
    <hyperlink ref="W41" r:id="rId127" xr:uid="{E7376430-80F8-4ED9-9862-34F8BD783490}"/>
    <hyperlink ref="W31" r:id="rId128" xr:uid="{4F2A730C-65E0-44D0-B6C8-3AADEE6FD0F3}"/>
    <hyperlink ref="W47" r:id="rId129" xr:uid="{4F7391D7-1F21-4671-B0F0-22D89BAF310E}"/>
    <hyperlink ref="W48" r:id="rId130" xr:uid="{0CB6D418-E00E-4CC2-BDB7-DA235024D62D}"/>
    <hyperlink ref="W49" r:id="rId131" xr:uid="{82710F14-AAA1-40DF-B608-ED42003E58F5}"/>
    <hyperlink ref="W52" r:id="rId132" xr:uid="{FFCEFE20-3F89-414C-9DDD-632DE14D3226}"/>
    <hyperlink ref="W46" r:id="rId133" xr:uid="{6478F9E1-1439-45F8-AC49-8AF482E5B596}"/>
    <hyperlink ref="W51" r:id="rId134" xr:uid="{45634EC9-2B3B-46C6-9C62-B608C95327DA}"/>
    <hyperlink ref="W13" r:id="rId135" xr:uid="{2E6AC613-6392-4E16-AC94-7C3BD13AD667}"/>
    <hyperlink ref="W11" r:id="rId136" xr:uid="{B836C595-BE55-414B-9E6D-1D53F21F911C}"/>
    <hyperlink ref="W12" r:id="rId137" xr:uid="{074D07EE-50BC-4B9C-A9E5-AE6D786A4E3E}"/>
    <hyperlink ref="W32" r:id="rId138" xr:uid="{9C8D96B7-9222-4B77-9D6D-0C0AEDB9AE5F}"/>
    <hyperlink ref="W35" r:id="rId139" xr:uid="{94805AEE-16D1-4E73-B565-FA8101EB734C}"/>
    <hyperlink ref="W16" r:id="rId140" xr:uid="{7F5994D0-E177-4956-9700-9083406D3298}"/>
    <hyperlink ref="W24" r:id="rId141" xr:uid="{49578C4E-2B93-42D5-B282-925EA06D5F3F}"/>
    <hyperlink ref="W26" r:id="rId142" xr:uid="{C7DAB2C8-8E94-4A6C-80FA-DC3A1772DDC1}"/>
    <hyperlink ref="W28" r:id="rId143" xr:uid="{9C8485C7-EF56-49D6-A800-DE3123B76B94}"/>
    <hyperlink ref="W20" r:id="rId144" xr:uid="{D9202AD0-AD31-4614-A98F-9F5CDAD9934F}"/>
    <hyperlink ref="W27" r:id="rId145" xr:uid="{D2E49F0D-2A3B-4110-9AD9-C0AABBE53ACB}"/>
    <hyperlink ref="W18" r:id="rId146" xr:uid="{5D1F8F9B-6011-4860-8354-E1B7735859BB}"/>
    <hyperlink ref="W30" r:id="rId147" xr:uid="{330FC6F7-F98E-416A-865B-046256463975}"/>
    <hyperlink ref="W19" r:id="rId148" xr:uid="{D0002E79-05E3-4704-A9ED-6B2EEF64D476}"/>
    <hyperlink ref="W17" r:id="rId149" xr:uid="{11B6CE76-0662-4496-B870-A3112C72ED69}"/>
    <hyperlink ref="W29" r:id="rId150" xr:uid="{73E2389A-FDCD-4D15-8E63-0ECF70BA340E}"/>
    <hyperlink ref="W25" r:id="rId151" xr:uid="{51A51692-A341-418F-8077-C78B27622C3D}"/>
    <hyperlink ref="W21" r:id="rId152" xr:uid="{37C97905-2967-4927-8626-23B59FF68FA2}"/>
    <hyperlink ref="W22" r:id="rId153" xr:uid="{F3E3B906-EB1E-4F11-ABB2-F8445012B4BF}"/>
    <hyperlink ref="W3" r:id="rId154" xr:uid="{B9FFF128-DC4D-498B-9499-8AF2D5EFDCB6}"/>
    <hyperlink ref="W4" r:id="rId155" xr:uid="{7572A600-C84D-448D-90E9-25AB23E464F3}"/>
    <hyperlink ref="W6" r:id="rId156" xr:uid="{D661C618-E1B6-4E55-8A61-5B614477D9CB}"/>
    <hyperlink ref="W5" r:id="rId157" xr:uid="{B3D011E8-093E-46A2-876B-1915D1DA3F26}"/>
    <hyperlink ref="W8" r:id="rId158" xr:uid="{8D789183-8DAE-47E4-BF9C-182A5722FA5A}"/>
    <hyperlink ref="W9" r:id="rId159" xr:uid="{B961E95E-B049-4BD0-A12D-803FD1FF7C7A}"/>
    <hyperlink ref="W7" r:id="rId160" xr:uid="{EEB62486-2AE6-4012-A342-A492329ACBE1}"/>
    <hyperlink ref="W23" r:id="rId161" xr:uid="{DC44300B-CB70-4C98-B01F-D8FD9D1924D2}"/>
    <hyperlink ref="W10" r:id="rId162" xr:uid="{CF71B383-E136-4A2B-902C-971760D9A056}"/>
    <hyperlink ref="W2" r:id="rId163" xr:uid="{0EC5513D-88FE-4DE5-8B8A-A517BCEB1252}"/>
    <hyperlink ref="W182" r:id="rId164" xr:uid="{B650BF7D-B78F-4FAC-8CBD-F794A1BFD186}"/>
    <hyperlink ref="W210" r:id="rId165" xr:uid="{3467F143-3CD2-46A7-A5B1-B83AFABE8419}"/>
    <hyperlink ref="W207" r:id="rId166" xr:uid="{40163F9D-BD6A-4FC5-8B75-CCC74F888D87}"/>
    <hyperlink ref="W221" r:id="rId167" xr:uid="{72326FAE-0A40-43A2-98D4-32CADCA04907}"/>
    <hyperlink ref="W216" r:id="rId168" xr:uid="{8D5BB76A-11E4-45CC-B2E2-B1E326651C81}"/>
    <hyperlink ref="W217" r:id="rId169" xr:uid="{E0BA52E3-907F-42AE-845C-02E571940BAF}"/>
    <hyperlink ref="W220" r:id="rId170" xr:uid="{9180FF56-37E0-44AA-BF64-D7356FE972E4}"/>
    <hyperlink ref="W219" r:id="rId171" xr:uid="{7DF3DD6C-9849-4E68-85D8-11F46976F005}"/>
    <hyperlink ref="W218" r:id="rId172" xr:uid="{4364FA1A-951E-4E5D-8C57-90942D729ED4}"/>
    <hyperlink ref="W185" r:id="rId173" xr:uid="{5D75FEFB-E66D-4D5F-8A31-23B3B1340B21}"/>
    <hyperlink ref="W184" r:id="rId174" xr:uid="{703131B4-EBE0-48E9-96D6-BFC808F281FF}"/>
    <hyperlink ref="W183" r:id="rId175" xr:uid="{229AF097-19CE-4099-A85C-0F7DBB82D9D8}"/>
    <hyperlink ref="W213" r:id="rId176" xr:uid="{8365BA69-E8BC-418A-83D4-C3519B145478}"/>
    <hyperlink ref="W203" r:id="rId177" xr:uid="{1A3A307F-DB40-4D75-AD7C-1588383CD6CF}"/>
    <hyperlink ref="W190" r:id="rId178" xr:uid="{A08407AE-AC4E-479F-B32A-C6544619BADA}"/>
    <hyperlink ref="W208" r:id="rId179" xr:uid="{DCE9C215-6A76-409D-9D1A-44D8CCEDB670}"/>
    <hyperlink ref="W192" r:id="rId180" xr:uid="{6A8E6768-17CB-4372-B895-563912A1BE9C}"/>
    <hyperlink ref="W201" r:id="rId181" xr:uid="{27CC3C69-0388-4312-8550-AC4AF7CED304}"/>
    <hyperlink ref="W204" r:id="rId182" xr:uid="{ED42978D-6008-4EC3-9FC6-3ADDF1C8835E}"/>
    <hyperlink ref="W198" r:id="rId183" xr:uid="{69179CAF-C689-4996-AC73-014DB6614FD1}"/>
    <hyperlink ref="W195" r:id="rId184" xr:uid="{8B4318C1-C881-4F48-B496-4E97F14C51BA}"/>
    <hyperlink ref="W194" r:id="rId185" xr:uid="{165755A3-B18A-4DC3-88FD-146E2229EED3}"/>
    <hyperlink ref="W196" r:id="rId186" xr:uid="{EFF9DD53-0560-46E4-89BB-43BB73837668}"/>
    <hyperlink ref="W186" r:id="rId187" xr:uid="{91FDC001-54C1-459C-876B-463E624E6881}"/>
    <hyperlink ref="W189" r:id="rId188" xr:uid="{C2470EF2-933D-420B-ABF5-53D92329D024}"/>
    <hyperlink ref="W187" r:id="rId189" xr:uid="{C0A5A2CB-FCB1-4FEE-B3B9-84D38167D3BB}"/>
    <hyperlink ref="W202" r:id="rId190" xr:uid="{17D1FC6E-F7A5-4B76-9B0E-0F7E3C01A249}"/>
    <hyperlink ref="W209" r:id="rId191" xr:uid="{685133D4-A7FF-493A-A369-557F0F9F3433}"/>
    <hyperlink ref="W197" r:id="rId192" xr:uid="{20C9663B-0CDC-4D0E-8DAC-0691D65E1911}"/>
    <hyperlink ref="W205" r:id="rId193" xr:uid="{FDF33B50-F299-45AD-828F-EC697274521D}"/>
    <hyperlink ref="W193" r:id="rId194" xr:uid="{CD7D2A40-4294-4D48-86FB-B6E4A815E1CD}"/>
    <hyperlink ref="W200" r:id="rId195" xr:uid="{93AAE3FD-1D44-4FD2-AC80-E4EA27281C14}"/>
    <hyperlink ref="W222" r:id="rId196" xr:uid="{B377ECA8-DDF5-4FF0-819C-50B33F156EFB}"/>
    <hyperlink ref="W199" r:id="rId197" xr:uid="{5B373A18-0B57-4ADE-AD4D-C4FDC8882664}"/>
    <hyperlink ref="W188" r:id="rId198" xr:uid="{5B1964D2-EA0A-46F5-8124-06565B903DA1}"/>
    <hyperlink ref="W211" r:id="rId199" xr:uid="{146E2702-6625-495E-AF38-14AD9F031B9B}"/>
    <hyperlink ref="W206" r:id="rId200" xr:uid="{4371CB9A-E1FE-46D3-9DA9-71AA6DAA0413}"/>
    <hyperlink ref="W191" r:id="rId201" xr:uid="{0CA07FC5-7A21-4991-A327-890E97CB67D4}"/>
    <hyperlink ref="W214" r:id="rId202" xr:uid="{FDC451B6-0CAE-49D2-A1D5-C2A222B51814}"/>
    <hyperlink ref="W215" r:id="rId203" xr:uid="{1A2D47F6-D027-4E8A-B04B-4C039CBFC94B}"/>
    <hyperlink ref="W212" r:id="rId204" xr:uid="{5567B9FF-400C-4C0A-BEFE-9C5D678E9A45}"/>
    <hyperlink ref="W152" r:id="rId205" xr:uid="{85A02469-FEBE-4CAC-A92E-E705A126F46A}"/>
    <hyperlink ref="W150" r:id="rId206" xr:uid="{84483CD6-2854-45F2-891A-5025F543521E}"/>
    <hyperlink ref="W167" r:id="rId207" xr:uid="{E0D27033-7F75-4872-ABCD-B72E7E16C5E9}"/>
    <hyperlink ref="W155" r:id="rId208" xr:uid="{AAC7E048-0F8A-4330-AB88-EE39E2608394}"/>
    <hyperlink ref="W146" r:id="rId209" xr:uid="{03C2C0AD-999C-4873-9FE0-77CDC1087663}"/>
    <hyperlink ref="W149" r:id="rId210" xr:uid="{59E050D2-C10E-46E3-8D65-5C5A3CE34934}"/>
    <hyperlink ref="W139" r:id="rId211" xr:uid="{197988C7-C4FF-4D19-BD44-5E492DF2E35B}"/>
    <hyperlink ref="W140" r:id="rId212" xr:uid="{35F280B5-F8C2-4283-9BAD-7C94A6A9ABD4}"/>
    <hyperlink ref="W151" r:id="rId213" xr:uid="{29332E1F-94F1-40E7-97C0-90F4A5046A3B}"/>
    <hyperlink ref="W154" r:id="rId214" xr:uid="{825DEE4E-49D2-400E-BEC8-260A381DE7C3}"/>
    <hyperlink ref="W153" r:id="rId215" xr:uid="{75951EBA-2DCC-4FBA-A103-1CAEC022AF19}"/>
    <hyperlink ref="W141" r:id="rId216" xr:uid="{406B95CC-DC98-4A59-9928-E84E2569110A}"/>
    <hyperlink ref="W173" r:id="rId217" xr:uid="{8735FCF4-0EAB-45AA-B0D5-28B4015C9F3D}"/>
    <hyperlink ref="W145" r:id="rId218" xr:uid="{40E591EC-F0C5-46C0-AF1E-48DEEDA4D98B}"/>
    <hyperlink ref="W147" r:id="rId219" xr:uid="{7179F8A3-D5F6-4490-BDF1-449D9753D481}"/>
    <hyperlink ref="W157" r:id="rId220" xr:uid="{033EBFC7-B68C-454C-8B58-32DA9D12A041}"/>
    <hyperlink ref="W168" r:id="rId221" xr:uid="{20A67069-780F-4AB3-9BED-609ECB21F3F2}"/>
    <hyperlink ref="W137" r:id="rId222" xr:uid="{2A011126-9218-43EB-AD46-454C06275570}"/>
    <hyperlink ref="W148" r:id="rId223" xr:uid="{9593ADF0-5071-4709-816E-588CDDB35001}"/>
    <hyperlink ref="W156" r:id="rId224" xr:uid="{86E9B137-9BD2-40D6-942B-4F69A6716A9B}"/>
    <hyperlink ref="W164" r:id="rId225" xr:uid="{6536F597-990A-4894-813E-9B1F624A5789}"/>
    <hyperlink ref="W171" r:id="rId226" xr:uid="{3915F056-E3B1-431A-8894-BD5ADFCB256F}"/>
    <hyperlink ref="W178" r:id="rId227" xr:uid="{8584FFFC-7D75-4077-8DFD-FA9B61096263}"/>
    <hyperlink ref="W180" r:id="rId228" xr:uid="{7F2BC0F2-AF18-4BFF-8034-7D0F856797DA}"/>
    <hyperlink ref="W181" r:id="rId229" xr:uid="{F0082916-B140-470B-A55F-AF6EC58CB14A}"/>
    <hyperlink ref="W142" r:id="rId230" xr:uid="{7D3593BB-E6DF-4FA4-A761-454BA1EC2903}"/>
    <hyperlink ref="W172" r:id="rId231" xr:uid="{3C7228F3-9842-42A1-8632-DABB9E7D1E4E}"/>
    <hyperlink ref="W135" r:id="rId232" xr:uid="{6C23922F-4565-49FC-AF98-A297343A3528}"/>
    <hyperlink ref="W136" r:id="rId233" xr:uid="{9668AC1F-FD27-41C2-8C08-5B97831793C3}"/>
    <hyperlink ref="W144" r:id="rId234" xr:uid="{734F9C24-4611-464E-8706-FCC1B0B8CE4B}"/>
    <hyperlink ref="W158" r:id="rId235" xr:uid="{4AA79E9C-4231-4396-9A1D-2D4653AB4D8A}"/>
    <hyperlink ref="W160" r:id="rId236" xr:uid="{51CDFF77-B858-4EED-84C6-2D7E7D6DA50F}"/>
    <hyperlink ref="W174" r:id="rId237" xr:uid="{CEE86F83-8931-4775-96D1-4DF35EDC51FA}"/>
    <hyperlink ref="W165" r:id="rId238" xr:uid="{C96B5A5D-53C3-4EB2-B01B-9D58DD142330}"/>
    <hyperlink ref="W161" r:id="rId239" xr:uid="{FBD1BB80-7E70-4D99-BAB1-8378E5128268}"/>
    <hyperlink ref="W163" r:id="rId240" xr:uid="{3F207CF9-9838-4678-9C9B-DBA0AC045181}"/>
    <hyperlink ref="W175" r:id="rId241" xr:uid="{737DB464-509F-43E7-889D-16F684734F12}"/>
    <hyperlink ref="W159" r:id="rId242" xr:uid="{E5C65DA7-A391-40BF-9BA7-5DCF8E5971FA}"/>
    <hyperlink ref="W143" r:id="rId243" xr:uid="{E3446E1E-B66E-4318-9F75-09FF7F90051C}"/>
    <hyperlink ref="W138" r:id="rId244" xr:uid="{70D8A957-7B04-4368-A27E-56B0F661E49C}"/>
    <hyperlink ref="W170" r:id="rId245" xr:uid="{5A7039D6-4318-4FAB-BA87-A0687C90B4B8}"/>
    <hyperlink ref="W179" r:id="rId246" xr:uid="{E9F5C03C-C513-427E-AE74-381EBBF5D2C3}"/>
    <hyperlink ref="W169" r:id="rId247" xr:uid="{A7CD5A25-0715-4408-8ACA-E2EB7CD59C1D}"/>
    <hyperlink ref="W176" r:id="rId248" xr:uid="{6C1B9E54-8388-4D6F-BB56-0396D6DCEC4F}"/>
    <hyperlink ref="W177" r:id="rId249" xr:uid="{01902CDB-7084-4C7D-BFAE-E046358C8E70}"/>
    <hyperlink ref="W162" r:id="rId250" xr:uid="{A9A6EBE4-E39C-4F9D-953D-F4A61D14B774}"/>
    <hyperlink ref="W166" r:id="rId251" xr:uid="{3E45659A-3F04-4AD3-ADFB-AC21633B2DAA}"/>
  </hyperlinks>
  <pageMargins left="0.7" right="0.7" top="0.75" bottom="0.75" header="0.3" footer="0.3"/>
  <pageSetup paperSize="9" orientation="portrait" r:id="rId252"/>
  <legacyDrawing r:id="rId25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3A892-A009-4B90-AABA-85C9907862AB}">
  <dimension ref="A1:I28"/>
  <sheetViews>
    <sheetView workbookViewId="0">
      <selection activeCell="D22" sqref="D22"/>
    </sheetView>
  </sheetViews>
  <sheetFormatPr baseColWidth="10" defaultColWidth="8.5" defaultRowHeight="15" x14ac:dyDescent="0.2"/>
  <cols>
    <col min="1" max="1" width="32.5" customWidth="1"/>
    <col min="3" max="3" width="24" customWidth="1"/>
    <col min="4" max="4" width="18.5" customWidth="1"/>
    <col min="5" max="5" width="12.5" customWidth="1"/>
    <col min="6" max="6" width="20.5" customWidth="1"/>
    <col min="7" max="7" width="14.5" customWidth="1"/>
    <col min="8" max="8" width="16.5" customWidth="1"/>
    <col min="9" max="9" width="17.5" customWidth="1"/>
  </cols>
  <sheetData>
    <row r="1" spans="1:9" x14ac:dyDescent="0.2">
      <c r="A1" s="2" t="s">
        <v>1053</v>
      </c>
      <c r="B1" s="3" t="s">
        <v>1054</v>
      </c>
      <c r="C1" s="3" t="s">
        <v>26</v>
      </c>
      <c r="D1" s="3" t="s">
        <v>1055</v>
      </c>
      <c r="E1" s="3" t="s">
        <v>1056</v>
      </c>
      <c r="F1" s="3" t="s">
        <v>1057</v>
      </c>
      <c r="G1" s="3" t="s">
        <v>1058</v>
      </c>
      <c r="H1" s="3" t="s">
        <v>1059</v>
      </c>
      <c r="I1" s="3" t="s">
        <v>1060</v>
      </c>
    </row>
    <row r="2" spans="1:9" x14ac:dyDescent="0.2">
      <c r="A2" s="4" t="s">
        <v>1061</v>
      </c>
      <c r="B2" s="5">
        <v>7</v>
      </c>
      <c r="C2" s="6">
        <v>29239919</v>
      </c>
      <c r="D2" s="5">
        <v>631</v>
      </c>
      <c r="E2" s="7">
        <v>36637</v>
      </c>
      <c r="F2" s="8">
        <v>1.405</v>
      </c>
      <c r="G2" s="5">
        <v>11.6</v>
      </c>
      <c r="H2" s="7">
        <v>110041</v>
      </c>
      <c r="I2" s="5">
        <v>166.72</v>
      </c>
    </row>
    <row r="3" spans="1:9" x14ac:dyDescent="0.2">
      <c r="A3" s="4" t="s">
        <v>85</v>
      </c>
      <c r="B3" s="5">
        <v>27</v>
      </c>
      <c r="C3" s="6">
        <v>26258997</v>
      </c>
      <c r="D3" s="5">
        <v>245</v>
      </c>
      <c r="E3" s="7">
        <v>11039</v>
      </c>
      <c r="F3" s="9">
        <v>1.2</v>
      </c>
      <c r="G3" s="5">
        <v>3.08</v>
      </c>
      <c r="H3" s="7">
        <v>54950</v>
      </c>
      <c r="I3" s="5">
        <v>224.29</v>
      </c>
    </row>
    <row r="4" spans="1:9" x14ac:dyDescent="0.2">
      <c r="A4" s="4" t="s">
        <v>110</v>
      </c>
      <c r="B4" s="5">
        <v>14</v>
      </c>
      <c r="C4" s="6">
        <v>6256958</v>
      </c>
      <c r="D4" s="5">
        <v>122</v>
      </c>
      <c r="E4" s="7">
        <v>3706</v>
      </c>
      <c r="F4" s="5">
        <v>1.52</v>
      </c>
      <c r="G4" s="5">
        <v>2.3199999999999998</v>
      </c>
      <c r="H4" s="7">
        <v>20550</v>
      </c>
      <c r="I4" s="5">
        <v>169.83</v>
      </c>
    </row>
    <row r="5" spans="1:9" x14ac:dyDescent="0.2">
      <c r="A5" s="4" t="s">
        <v>262</v>
      </c>
      <c r="B5" s="5">
        <v>16</v>
      </c>
      <c r="C5" s="6">
        <v>43631724</v>
      </c>
      <c r="D5" s="5" t="s">
        <v>1062</v>
      </c>
      <c r="E5" s="5" t="s">
        <v>1062</v>
      </c>
      <c r="F5" s="5" t="s">
        <v>1062</v>
      </c>
      <c r="G5" s="5" t="s">
        <v>1062</v>
      </c>
      <c r="H5" s="5" t="s">
        <v>1062</v>
      </c>
      <c r="I5" s="5" t="s">
        <v>1062</v>
      </c>
    </row>
    <row r="6" spans="1:9" x14ac:dyDescent="0.2">
      <c r="A6" s="4" t="s">
        <v>504</v>
      </c>
      <c r="B6" s="5">
        <v>35</v>
      </c>
      <c r="C6" s="6">
        <v>69868414</v>
      </c>
      <c r="D6" s="5" t="s">
        <v>1062</v>
      </c>
      <c r="E6" s="5" t="s">
        <v>1062</v>
      </c>
      <c r="F6" s="5" t="s">
        <v>1062</v>
      </c>
      <c r="G6" s="5" t="s">
        <v>1062</v>
      </c>
      <c r="H6" s="5" t="s">
        <v>1062</v>
      </c>
      <c r="I6" s="5" t="s">
        <v>1062</v>
      </c>
    </row>
    <row r="7" spans="1:9" x14ac:dyDescent="0.2">
      <c r="A7" s="4" t="s">
        <v>521</v>
      </c>
      <c r="B7" s="5">
        <v>13</v>
      </c>
      <c r="C7" s="6">
        <v>22587630</v>
      </c>
      <c r="D7" s="5" t="s">
        <v>1062</v>
      </c>
      <c r="E7" s="5" t="s">
        <v>1062</v>
      </c>
      <c r="F7" s="5" t="s">
        <v>1062</v>
      </c>
      <c r="G7" s="5" t="s">
        <v>1062</v>
      </c>
      <c r="H7" s="5" t="s">
        <v>1062</v>
      </c>
      <c r="I7" s="5" t="s">
        <v>1062</v>
      </c>
    </row>
    <row r="8" spans="1:9" x14ac:dyDescent="0.2">
      <c r="A8" s="4" t="s">
        <v>1063</v>
      </c>
      <c r="B8" s="5">
        <v>2</v>
      </c>
      <c r="C8" s="6">
        <v>118454</v>
      </c>
      <c r="D8" s="5">
        <v>13</v>
      </c>
      <c r="E8" s="5">
        <v>116</v>
      </c>
      <c r="F8" s="5">
        <v>2.0750000000000002</v>
      </c>
      <c r="G8" s="5">
        <v>4.8899999999999997</v>
      </c>
      <c r="H8" s="5">
        <v>448</v>
      </c>
      <c r="I8" s="5">
        <v>34.46</v>
      </c>
    </row>
    <row r="9" spans="1:9" x14ac:dyDescent="0.2">
      <c r="A9" s="4" t="s">
        <v>38</v>
      </c>
      <c r="B9" s="5">
        <v>1</v>
      </c>
      <c r="C9" s="6">
        <v>323195</v>
      </c>
      <c r="D9" s="5" t="s">
        <v>1062</v>
      </c>
      <c r="E9" s="5" t="s">
        <v>1062</v>
      </c>
      <c r="F9" s="5" t="s">
        <v>1062</v>
      </c>
      <c r="G9" s="5" t="s">
        <v>1062</v>
      </c>
      <c r="H9" s="5" t="s">
        <v>1062</v>
      </c>
      <c r="I9" s="5" t="s">
        <v>1062</v>
      </c>
    </row>
    <row r="10" spans="1:9" x14ac:dyDescent="0.2">
      <c r="A10" s="4" t="s">
        <v>1062</v>
      </c>
      <c r="B10" s="5" t="s">
        <v>1062</v>
      </c>
      <c r="C10" s="5" t="s">
        <v>1062</v>
      </c>
      <c r="D10" s="5" t="s">
        <v>1062</v>
      </c>
      <c r="E10" s="5" t="s">
        <v>1062</v>
      </c>
      <c r="F10" s="5" t="s">
        <v>1062</v>
      </c>
      <c r="G10" s="5" t="s">
        <v>1062</v>
      </c>
      <c r="H10" s="5" t="s">
        <v>1062</v>
      </c>
      <c r="I10" s="5" t="s">
        <v>1062</v>
      </c>
    </row>
    <row r="11" spans="1:9" x14ac:dyDescent="0.2">
      <c r="A11" s="4" t="s">
        <v>1064</v>
      </c>
      <c r="B11" s="5">
        <v>115</v>
      </c>
      <c r="C11" s="6">
        <v>198285291</v>
      </c>
      <c r="D11" s="5">
        <v>1011</v>
      </c>
      <c r="E11" s="7">
        <v>51498</v>
      </c>
      <c r="F11" s="5">
        <v>1.39</v>
      </c>
      <c r="G11" s="5">
        <v>2.7</v>
      </c>
      <c r="H11" s="7">
        <v>185989</v>
      </c>
      <c r="I11" s="5">
        <v>183.97</v>
      </c>
    </row>
    <row r="13" spans="1:9" x14ac:dyDescent="0.2">
      <c r="A13" t="s">
        <v>1065</v>
      </c>
      <c r="B13">
        <v>41</v>
      </c>
      <c r="C13" s="10">
        <v>53291206</v>
      </c>
    </row>
    <row r="14" spans="1:9" x14ac:dyDescent="0.2">
      <c r="A14" t="s">
        <v>1066</v>
      </c>
      <c r="B14">
        <v>48</v>
      </c>
      <c r="C14" s="13">
        <v>213828318</v>
      </c>
      <c r="D14" s="10">
        <v>3937</v>
      </c>
      <c r="E14" s="10">
        <v>457652</v>
      </c>
      <c r="F14">
        <v>1.4</v>
      </c>
      <c r="G14">
        <v>5.22</v>
      </c>
      <c r="H14" s="10">
        <v>257618</v>
      </c>
      <c r="I14">
        <v>75.099999999999994</v>
      </c>
    </row>
    <row r="16" spans="1:9" ht="16" x14ac:dyDescent="0.2">
      <c r="A16" s="11" t="s">
        <v>1067</v>
      </c>
    </row>
    <row r="17" spans="1:1" x14ac:dyDescent="0.2">
      <c r="A17" s="12" t="s">
        <v>1068</v>
      </c>
    </row>
    <row r="18" spans="1:1" x14ac:dyDescent="0.2">
      <c r="A18" s="12" t="s">
        <v>1069</v>
      </c>
    </row>
    <row r="19" spans="1:1" x14ac:dyDescent="0.2">
      <c r="A19" s="12" t="s">
        <v>1070</v>
      </c>
    </row>
    <row r="20" spans="1:1" x14ac:dyDescent="0.2">
      <c r="A20" s="12" t="s">
        <v>1071</v>
      </c>
    </row>
    <row r="21" spans="1:1" x14ac:dyDescent="0.2">
      <c r="A21" s="12" t="s">
        <v>1072</v>
      </c>
    </row>
    <row r="22" spans="1:1" x14ac:dyDescent="0.2">
      <c r="A22" s="12" t="s">
        <v>1073</v>
      </c>
    </row>
    <row r="23" spans="1:1" x14ac:dyDescent="0.2">
      <c r="A23" s="12" t="s">
        <v>1074</v>
      </c>
    </row>
    <row r="24" spans="1:1" x14ac:dyDescent="0.2">
      <c r="A24" s="12" t="s">
        <v>1075</v>
      </c>
    </row>
    <row r="25" spans="1:1" x14ac:dyDescent="0.2">
      <c r="A25" s="12" t="s">
        <v>1076</v>
      </c>
    </row>
    <row r="26" spans="1:1" x14ac:dyDescent="0.2">
      <c r="A26" s="12"/>
    </row>
    <row r="27" spans="1:1" x14ac:dyDescent="0.2">
      <c r="A27" s="12"/>
    </row>
    <row r="28" spans="1:1" x14ac:dyDescent="0.2">
      <c r="A28" s="1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BDF6D-D067-46DB-B4C6-CF11E10D519E}">
  <dimension ref="B1:T17"/>
  <sheetViews>
    <sheetView zoomScale="90" zoomScaleNormal="90" workbookViewId="0">
      <selection activeCell="D5" sqref="B1:D5"/>
    </sheetView>
  </sheetViews>
  <sheetFormatPr baseColWidth="10" defaultColWidth="8.83203125" defaultRowHeight="15" x14ac:dyDescent="0.2"/>
  <cols>
    <col min="1" max="1" width="3.5" customWidth="1"/>
    <col min="2" max="2" width="18.1640625" customWidth="1"/>
    <col min="4" max="4" width="14.5" style="17" bestFit="1" customWidth="1"/>
    <col min="5" max="5" width="4" customWidth="1"/>
    <col min="6" max="6" width="74.83203125" bestFit="1" customWidth="1"/>
    <col min="8" max="8" width="14.5" style="17" bestFit="1" customWidth="1"/>
    <col min="9" max="9" width="4.5" customWidth="1"/>
    <col min="10" max="10" width="27.1640625" bestFit="1" customWidth="1"/>
    <col min="12" max="12" width="13.83203125" customWidth="1"/>
    <col min="13" max="13" width="4.1640625" customWidth="1"/>
    <col min="14" max="14" width="25.5" bestFit="1" customWidth="1"/>
    <col min="16" max="16" width="14.5" customWidth="1"/>
    <col min="17" max="17" width="3.83203125" customWidth="1"/>
    <col min="18" max="18" width="57.1640625" bestFit="1" customWidth="1"/>
    <col min="20" max="20" width="18.1640625" bestFit="1" customWidth="1"/>
  </cols>
  <sheetData>
    <row r="1" spans="2:20" x14ac:dyDescent="0.2">
      <c r="B1" s="18" t="s">
        <v>0</v>
      </c>
      <c r="C1" s="18" t="s">
        <v>1077</v>
      </c>
      <c r="D1" s="18" t="s">
        <v>1078</v>
      </c>
      <c r="F1" s="18" t="s">
        <v>1079</v>
      </c>
      <c r="G1" s="18" t="s">
        <v>1077</v>
      </c>
      <c r="H1" s="19" t="s">
        <v>1078</v>
      </c>
      <c r="J1" s="18" t="s">
        <v>1080</v>
      </c>
      <c r="K1" s="18" t="s">
        <v>1077</v>
      </c>
      <c r="L1" s="19" t="s">
        <v>1078</v>
      </c>
      <c r="N1" s="18" t="s">
        <v>1081</v>
      </c>
      <c r="O1" s="18" t="s">
        <v>1077</v>
      </c>
      <c r="P1" s="19" t="s">
        <v>1078</v>
      </c>
      <c r="R1" s="18" t="s">
        <v>1082</v>
      </c>
      <c r="S1" s="18" t="s">
        <v>1077</v>
      </c>
      <c r="T1" s="19" t="s">
        <v>1078</v>
      </c>
    </row>
    <row r="2" spans="2:20" x14ac:dyDescent="0.2">
      <c r="B2" s="20" t="s">
        <v>1</v>
      </c>
      <c r="C2" s="20">
        <v>129</v>
      </c>
      <c r="D2" s="21">
        <v>250217726.75</v>
      </c>
      <c r="F2" s="20" t="s">
        <v>1083</v>
      </c>
      <c r="G2" s="20">
        <v>2</v>
      </c>
      <c r="H2" s="21">
        <v>13792985.039999999</v>
      </c>
      <c r="J2" s="20" t="s">
        <v>47</v>
      </c>
      <c r="K2" s="20">
        <v>26</v>
      </c>
      <c r="L2" s="21">
        <v>59829311.690000005</v>
      </c>
      <c r="N2" s="24" t="s">
        <v>1084</v>
      </c>
      <c r="O2" s="20">
        <v>67</v>
      </c>
      <c r="P2" s="21">
        <v>152183696.40000001</v>
      </c>
      <c r="R2" s="22" t="s">
        <v>762</v>
      </c>
      <c r="S2" s="20">
        <v>36</v>
      </c>
      <c r="T2" s="21">
        <v>51480445.689999998</v>
      </c>
    </row>
    <row r="3" spans="2:20" x14ac:dyDescent="0.2">
      <c r="B3" s="20" t="s">
        <v>1085</v>
      </c>
      <c r="C3" s="20">
        <v>41</v>
      </c>
      <c r="D3" s="21">
        <v>53291105.689999998</v>
      </c>
      <c r="F3" s="20" t="s">
        <v>373</v>
      </c>
      <c r="G3" s="20">
        <v>10</v>
      </c>
      <c r="H3" s="21">
        <v>16667402.84</v>
      </c>
      <c r="J3" s="20" t="s">
        <v>101</v>
      </c>
      <c r="K3" s="20">
        <v>16</v>
      </c>
      <c r="L3" s="21">
        <v>8977275.1799999997</v>
      </c>
      <c r="N3" s="24" t="s">
        <v>1086</v>
      </c>
      <c r="O3" s="20">
        <v>47</v>
      </c>
      <c r="P3" s="21">
        <v>37959004.5</v>
      </c>
      <c r="R3" s="25" t="s">
        <v>899</v>
      </c>
      <c r="S3" s="20">
        <v>6</v>
      </c>
      <c r="T3" s="21">
        <v>17638098</v>
      </c>
    </row>
    <row r="4" spans="2:20" x14ac:dyDescent="0.2">
      <c r="B4" s="24" t="s">
        <v>1087</v>
      </c>
      <c r="C4" s="20">
        <v>48</v>
      </c>
      <c r="D4" s="21">
        <v>213828318</v>
      </c>
      <c r="F4" s="20" t="s">
        <v>521</v>
      </c>
      <c r="G4" s="20">
        <v>9</v>
      </c>
      <c r="H4" s="21">
        <v>19984621.510000002</v>
      </c>
      <c r="J4" s="20" t="s">
        <v>95</v>
      </c>
      <c r="K4" s="20">
        <v>37</v>
      </c>
      <c r="L4" s="21">
        <v>85776729.530000016</v>
      </c>
      <c r="N4" s="20" t="s">
        <v>6</v>
      </c>
      <c r="O4" s="20">
        <v>15</v>
      </c>
      <c r="P4" s="21">
        <v>60075025.850000009</v>
      </c>
      <c r="R4" s="26" t="s">
        <v>1088</v>
      </c>
      <c r="S4" s="20">
        <v>21</v>
      </c>
      <c r="T4" s="21">
        <v>10051493.690000001</v>
      </c>
    </row>
    <row r="5" spans="2:20" x14ac:dyDescent="0.2">
      <c r="B5" s="20"/>
      <c r="C5" s="22">
        <v>218</v>
      </c>
      <c r="D5" s="23">
        <v>517337150.44</v>
      </c>
      <c r="F5" s="20" t="s">
        <v>422</v>
      </c>
      <c r="G5" s="20">
        <v>13</v>
      </c>
      <c r="H5" s="21">
        <v>22587629.939999998</v>
      </c>
      <c r="J5" s="20" t="s">
        <v>37</v>
      </c>
      <c r="K5" s="20">
        <v>35</v>
      </c>
      <c r="L5" s="21">
        <v>50190301.259999998</v>
      </c>
      <c r="N5" s="20"/>
      <c r="O5" s="22">
        <v>129</v>
      </c>
      <c r="P5" s="23">
        <v>250217726.75</v>
      </c>
      <c r="R5" s="25" t="s">
        <v>761</v>
      </c>
      <c r="S5" s="20">
        <v>9</v>
      </c>
      <c r="T5" s="21">
        <v>23790854</v>
      </c>
    </row>
    <row r="6" spans="2:20" x14ac:dyDescent="0.2">
      <c r="F6" s="20" t="s">
        <v>410</v>
      </c>
      <c r="G6" s="20">
        <v>3</v>
      </c>
      <c r="H6" s="21">
        <v>18794547.940000001</v>
      </c>
      <c r="J6" s="20" t="s">
        <v>409</v>
      </c>
      <c r="K6" s="20">
        <v>1</v>
      </c>
      <c r="L6" s="21">
        <v>6369109.2400000002</v>
      </c>
      <c r="R6" s="22" t="s">
        <v>878</v>
      </c>
      <c r="S6" s="20">
        <v>3</v>
      </c>
      <c r="T6" s="21">
        <v>575152</v>
      </c>
    </row>
    <row r="7" spans="2:20" x14ac:dyDescent="0.2">
      <c r="F7" s="20" t="s">
        <v>504</v>
      </c>
      <c r="G7" s="20">
        <v>1</v>
      </c>
      <c r="H7" s="21">
        <v>349253.13</v>
      </c>
      <c r="J7" s="24" t="s">
        <v>1089</v>
      </c>
      <c r="K7" s="20">
        <v>14</v>
      </c>
      <c r="L7" s="21">
        <v>39074999.850000001</v>
      </c>
      <c r="R7" s="25" t="s">
        <v>262</v>
      </c>
      <c r="S7" s="20">
        <v>3</v>
      </c>
      <c r="T7" s="21">
        <v>575152</v>
      </c>
    </row>
    <row r="8" spans="2:20" x14ac:dyDescent="0.2">
      <c r="F8" s="20" t="s">
        <v>262</v>
      </c>
      <c r="G8" s="20">
        <v>19</v>
      </c>
      <c r="H8" s="21">
        <v>49363137.480000012</v>
      </c>
      <c r="J8" s="20"/>
      <c r="K8" s="22">
        <v>129</v>
      </c>
      <c r="L8" s="23">
        <v>250217726.75</v>
      </c>
      <c r="R8" s="22" t="s">
        <v>1051</v>
      </c>
      <c r="S8" s="20">
        <v>1</v>
      </c>
      <c r="T8" s="21">
        <v>404971</v>
      </c>
    </row>
    <row r="9" spans="2:20" x14ac:dyDescent="0.2">
      <c r="F9" s="20" t="s">
        <v>85</v>
      </c>
      <c r="G9" s="20">
        <v>27</v>
      </c>
      <c r="H9" s="21">
        <v>27117388.999999993</v>
      </c>
      <c r="R9" s="25" t="s">
        <v>262</v>
      </c>
      <c r="S9" s="20">
        <v>1</v>
      </c>
      <c r="T9" s="21">
        <v>404971</v>
      </c>
    </row>
    <row r="10" spans="2:20" x14ac:dyDescent="0.2">
      <c r="F10" s="20" t="s">
        <v>329</v>
      </c>
      <c r="G10" s="20">
        <v>10</v>
      </c>
      <c r="H10" s="21">
        <v>16879237.409999996</v>
      </c>
      <c r="R10" s="22" t="s">
        <v>887</v>
      </c>
      <c r="S10" s="20">
        <v>1</v>
      </c>
      <c r="T10" s="21">
        <v>830537</v>
      </c>
    </row>
    <row r="11" spans="2:20" x14ac:dyDescent="0.2">
      <c r="F11" s="20" t="s">
        <v>284</v>
      </c>
      <c r="G11" s="20">
        <v>11</v>
      </c>
      <c r="H11" s="21">
        <v>17117806.870000001</v>
      </c>
      <c r="R11" s="25" t="s">
        <v>262</v>
      </c>
      <c r="S11" s="20">
        <v>1</v>
      </c>
      <c r="T11" s="21">
        <v>830537</v>
      </c>
    </row>
    <row r="12" spans="2:20" x14ac:dyDescent="0.2">
      <c r="F12" s="20" t="s">
        <v>110</v>
      </c>
      <c r="G12" s="20">
        <v>14</v>
      </c>
      <c r="H12" s="21">
        <v>6268680.9299999997</v>
      </c>
      <c r="R12" s="20"/>
      <c r="S12" s="22">
        <v>41</v>
      </c>
      <c r="T12" s="23">
        <v>53291105.689999998</v>
      </c>
    </row>
    <row r="13" spans="2:20" x14ac:dyDescent="0.2">
      <c r="F13" s="20" t="s">
        <v>48</v>
      </c>
      <c r="G13" s="20">
        <v>7</v>
      </c>
      <c r="H13" s="21">
        <v>40671785.380000003</v>
      </c>
    </row>
    <row r="14" spans="2:20" x14ac:dyDescent="0.2">
      <c r="F14" s="20" t="s">
        <v>142</v>
      </c>
      <c r="G14" s="20">
        <v>1</v>
      </c>
      <c r="H14" s="21">
        <v>18398.88</v>
      </c>
    </row>
    <row r="15" spans="2:20" x14ac:dyDescent="0.2">
      <c r="F15" s="20" t="s">
        <v>79</v>
      </c>
      <c r="G15" s="20">
        <v>1</v>
      </c>
      <c r="H15" s="21">
        <v>99995</v>
      </c>
    </row>
    <row r="16" spans="2:20" x14ac:dyDescent="0.2">
      <c r="F16" s="20" t="s">
        <v>38</v>
      </c>
      <c r="G16" s="20">
        <v>1</v>
      </c>
      <c r="H16" s="21">
        <v>504855.4</v>
      </c>
    </row>
    <row r="17" spans="6:8" x14ac:dyDescent="0.2">
      <c r="F17" s="20"/>
      <c r="G17" s="22">
        <v>129</v>
      </c>
      <c r="H17" s="23">
        <v>250217726.75000009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656a4e1-05f4-4ddd-9c1d-2dd49413b1f7">
      <Terms xmlns="http://schemas.microsoft.com/office/infopath/2007/PartnerControls"/>
    </lcf76f155ced4ddcb4097134ff3c332f>
    <TaxCatchAll xmlns="037fb88e-f71d-4ff6-945c-ae391dca3cfd" xsi:nil="true"/>
    <SharedWithUsers xmlns="9aee1794-57ef-4c03-ad7d-cafc2ad4b88f">
      <UserInfo>
        <DisplayName>Yvonne Lo</DisplayName>
        <AccountId>364</AccountId>
        <AccountType/>
      </UserInfo>
      <UserInfo>
        <DisplayName>Tim Killick</DisplayName>
        <AccountId>36</AccountId>
        <AccountType/>
      </UserInfo>
      <UserInfo>
        <DisplayName>Rachel Huxley</DisplayName>
        <AccountId>1359</AccountId>
        <AccountType/>
      </UserInfo>
      <UserInfo>
        <DisplayName>Weilin Wu</DisplayName>
        <AccountId>1043</AccountId>
        <AccountType/>
      </UserInfo>
      <UserInfo>
        <DisplayName>Isabelle Foss</DisplayName>
        <AccountId>65</AccountId>
        <AccountType/>
      </UserInfo>
      <UserInfo>
        <DisplayName>Arthy Hartwell</DisplayName>
        <AccountId>1387</AccountId>
        <AccountType/>
      </UserInfo>
      <UserInfo>
        <DisplayName>Arne Robben</DisplayName>
        <AccountId>62</AccountId>
        <AccountType/>
      </UserInfo>
      <UserInfo>
        <DisplayName>Shakira Mahadeva</DisplayName>
        <AccountId>1289</AccountId>
        <AccountType/>
      </UserInfo>
      <UserInfo>
        <DisplayName>Peter O'Donovan</DisplayName>
        <AccountId>61</AccountId>
        <AccountType/>
      </UserInfo>
      <UserInfo>
        <DisplayName>Melina Galdos</DisplayName>
        <AccountId>1201</AccountId>
        <AccountType/>
      </UserInfo>
      <UserInfo>
        <DisplayName>Sarah Holliday</DisplayName>
        <AccountId>583</AccountId>
        <AccountType/>
      </UserInfo>
      <UserInfo>
        <DisplayName>Nimisha Raj Sharma</DisplayName>
        <AccountId>201</AccountId>
        <AccountType/>
      </UserInfo>
      <UserInfo>
        <DisplayName>Emily Muller</DisplayName>
        <AccountId>777</AccountId>
        <AccountType/>
      </UserInfo>
      <UserInfo>
        <DisplayName>Jack Ekinsmyth</DisplayName>
        <AccountId>64</AccountId>
        <AccountType/>
      </UserInfo>
      <UserInfo>
        <DisplayName>Antonia Langfelder</DisplayName>
        <AccountId>77</AccountId>
        <AccountType/>
      </UserInfo>
      <UserInfo>
        <DisplayName>Justin Boylan-Toomey</DisplayName>
        <AccountId>76</AccountId>
        <AccountType/>
      </UserInfo>
      <UserInfo>
        <DisplayName>Nicola Haines</DisplayName>
        <AccountId>838</AccountId>
        <AccountType/>
      </UserInfo>
      <UserInfo>
        <DisplayName>Estella Smith</DisplayName>
        <AccountId>1314</AccountId>
        <AccountType/>
      </UserInfo>
      <UserInfo>
        <DisplayName>Charlotte Brady</DisplayName>
        <AccountId>106</AccountId>
        <AccountType/>
      </UserInfo>
    </SharedWithUser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E47DE9F7EF01A49A3068E31B58363A0" ma:contentTypeVersion="17" ma:contentTypeDescription="Create a new document." ma:contentTypeScope="" ma:versionID="8867d11449e08fd2391a38cb961816a0">
  <xsd:schema xmlns:xsd="http://www.w3.org/2001/XMLSchema" xmlns:xs="http://www.w3.org/2001/XMLSchema" xmlns:p="http://schemas.microsoft.com/office/2006/metadata/properties" xmlns:ns2="9aee1794-57ef-4c03-ad7d-cafc2ad4b88f" xmlns:ns3="c656a4e1-05f4-4ddd-9c1d-2dd49413b1f7" xmlns:ns4="037fb88e-f71d-4ff6-945c-ae391dca3cfd" targetNamespace="http://schemas.microsoft.com/office/2006/metadata/properties" ma:root="true" ma:fieldsID="cedcd5754dc9d97cfab2e2b20306a8e1" ns2:_="" ns3:_="" ns4:_="">
    <xsd:import namespace="9aee1794-57ef-4c03-ad7d-cafc2ad4b88f"/>
    <xsd:import namespace="c656a4e1-05f4-4ddd-9c1d-2dd49413b1f7"/>
    <xsd:import namespace="037fb88e-f71d-4ff6-945c-ae391dca3cfd"/>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LengthInSeconds" minOccurs="0"/>
                <xsd:element ref="ns3:lcf76f155ced4ddcb4097134ff3c332f" minOccurs="0"/>
                <xsd:element ref="ns4:TaxCatchAll" minOccurs="0"/>
                <xsd:element ref="ns3:MediaServiceGenerationTime" minOccurs="0"/>
                <xsd:element ref="ns3:MediaServiceEventHashCode" minOccurs="0"/>
                <xsd:element ref="ns3:MediaServiceOCR"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aee1794-57ef-4c03-ad7d-cafc2ad4b88f"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656a4e1-05f4-4ddd-9c1d-2dd49413b1f7"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ee4687d4-d401-48a0-a431-00c5a67016ec" ma:termSetId="09814cd3-568e-fe90-9814-8d621ff8fb84" ma:anchorId="fba54fb3-c3e1-fe81-a776-ca4b69148c4d" ma:open="true" ma:isKeyword="false">
      <xsd:complexType>
        <xsd:sequence>
          <xsd:element ref="pc:Terms" minOccurs="0" maxOccurs="1"/>
        </xsd:sequence>
      </xsd:complex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OCR" ma:index="22" nillable="true" ma:displayName="Extracted Text" ma:internalName="MediaServiceOCR" ma:readOnly="true">
      <xsd:simpleType>
        <xsd:restriction base="dms:Note">
          <xsd:maxLength value="255"/>
        </xsd:restriction>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37fb88e-f71d-4ff6-945c-ae391dca3cfd"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d7159a26-189e-43a2-9b6a-641fd38b2685}" ma:internalName="TaxCatchAll" ma:showField="CatchAllData" ma:web="9aee1794-57ef-4c03-ad7d-cafc2ad4b88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BC12CE6-5BA7-4F98-BB68-0CA76DFE5CE3}">
  <ds:schemaRefs>
    <ds:schemaRef ds:uri="http://schemas.microsoft.com/office/2006/metadata/properties"/>
    <ds:schemaRef ds:uri="http://schemas.microsoft.com/office/infopath/2007/PartnerControls"/>
    <ds:schemaRef ds:uri="c656a4e1-05f4-4ddd-9c1d-2dd49413b1f7"/>
    <ds:schemaRef ds:uri="037fb88e-f71d-4ff6-945c-ae391dca3cfd"/>
    <ds:schemaRef ds:uri="9aee1794-57ef-4c03-ad7d-cafc2ad4b88f"/>
  </ds:schemaRefs>
</ds:datastoreItem>
</file>

<file path=customXml/itemProps2.xml><?xml version="1.0" encoding="utf-8"?>
<ds:datastoreItem xmlns:ds="http://schemas.openxmlformats.org/officeDocument/2006/customXml" ds:itemID="{07E5A7C3-CF31-4C8D-AD93-4132BA8FE0D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aee1794-57ef-4c03-ad7d-cafc2ad4b88f"/>
    <ds:schemaRef ds:uri="c656a4e1-05f4-4ddd-9c1d-2dd49413b1f7"/>
    <ds:schemaRef ds:uri="037fb88e-f71d-4ff6-945c-ae391dca3cf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F07135B-47F5-47D0-A2FE-F8440AD7F90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Sheet2</vt:lpstr>
      <vt:lpstr>Total C&amp;H Awards</vt:lpstr>
      <vt:lpstr>Total C&amp;H Awards_SM tagging</vt:lpstr>
      <vt:lpstr>C&amp;H by Scheme</vt:lpstr>
      <vt:lpstr>Tables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Jack O'Connor</dc:creator>
  <cp:keywords/>
  <dc:description/>
  <cp:lastModifiedBy>Jack O'Connor</cp:lastModifiedBy>
  <cp:revision/>
  <dcterms:created xsi:type="dcterms:W3CDTF">2024-05-22T13:42:29Z</dcterms:created>
  <dcterms:modified xsi:type="dcterms:W3CDTF">2024-11-20T13:56:43Z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0x0101006E47DE9F7EF01A49A3068E31B58363A0</vt:lpwstr>
  </property>
  <property fmtid="{D5CDD505-2E9C-101B-9397-08002B2CF9AE}" pid="3" name="MediaServiceImageTags">
    <vt:lpwstr/>
  </property>
</Properties>
</file>